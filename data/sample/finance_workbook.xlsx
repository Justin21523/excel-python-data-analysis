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formula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product_revenue</t>
        </is>
      </c>
      <c r="C1" s="1" t="inlineStr">
        <is>
          <t>service_revenue</t>
        </is>
      </c>
      <c r="D1" s="1" t="inlineStr">
        <is>
          <t>other_revenue</t>
        </is>
      </c>
    </row>
    <row r="2">
      <c r="A2" t="inlineStr">
        <is>
          <t>2024-01</t>
        </is>
      </c>
      <c r="B2" t="n">
        <v>134176.92</v>
      </c>
      <c r="C2" t="n">
        <v>23589.57</v>
      </c>
      <c r="D2" t="n">
        <v>5781.11</v>
      </c>
    </row>
    <row r="3">
      <c r="A3" t="inlineStr">
        <is>
          <t>2024-02</t>
        </is>
      </c>
      <c r="B3" t="n">
        <v>110721.49</v>
      </c>
      <c r="C3" t="n">
        <v>26809.71</v>
      </c>
      <c r="D3" t="n">
        <v>2570.51</v>
      </c>
    </row>
    <row r="4">
      <c r="A4" t="inlineStr">
        <is>
          <t>2024-03</t>
        </is>
      </c>
      <c r="B4" t="n">
        <v>140101.85</v>
      </c>
      <c r="C4" t="n">
        <v>19981.46</v>
      </c>
      <c r="D4" t="n">
        <v>4066.97</v>
      </c>
    </row>
    <row r="5">
      <c r="A5" t="inlineStr">
        <is>
          <t>2024-04</t>
        </is>
      </c>
      <c r="B5" t="n">
        <v>128815.76</v>
      </c>
      <c r="C5" t="n">
        <v>16090.3</v>
      </c>
      <c r="D5" t="n">
        <v>1740.92</v>
      </c>
    </row>
    <row r="6">
      <c r="A6" t="inlineStr">
        <is>
          <t>2024-05</t>
        </is>
      </c>
      <c r="B6" t="n">
        <v>86592.41</v>
      </c>
      <c r="C6" t="n">
        <v>21982.53</v>
      </c>
      <c r="D6" t="n">
        <v>2348.59</v>
      </c>
    </row>
    <row r="7">
      <c r="A7" t="inlineStr">
        <is>
          <t>2024-06</t>
        </is>
      </c>
      <c r="B7" t="n">
        <v>148293.56</v>
      </c>
      <c r="C7" t="n">
        <v>13148.71</v>
      </c>
      <c r="D7" t="n">
        <v>5256.77</v>
      </c>
    </row>
    <row r="8">
      <c r="A8" t="inlineStr">
        <is>
          <t>2024-07</t>
        </is>
      </c>
      <c r="B8" t="n">
        <v>133279.78</v>
      </c>
      <c r="C8" t="n">
        <v>26897.36</v>
      </c>
      <c r="D8" t="n">
        <v>5596.19</v>
      </c>
    </row>
    <row r="9">
      <c r="A9" t="inlineStr">
        <is>
          <t>2024-08</t>
        </is>
      </c>
      <c r="B9" t="n">
        <v>135024.5</v>
      </c>
      <c r="C9" t="n">
        <v>23369.96</v>
      </c>
      <c r="D9" t="n">
        <v>6821.3</v>
      </c>
    </row>
    <row r="10">
      <c r="A10" t="inlineStr">
        <is>
          <t>2024-09</t>
        </is>
      </c>
      <c r="B10" t="n">
        <v>88967.95</v>
      </c>
      <c r="C10" t="n">
        <v>25645.58</v>
      </c>
      <c r="D10" t="n">
        <v>3292.04</v>
      </c>
    </row>
    <row r="11">
      <c r="A11" t="inlineStr">
        <is>
          <t>2024-10</t>
        </is>
      </c>
      <c r="B11" t="n">
        <v>111527.02</v>
      </c>
      <c r="C11" t="n">
        <v>18381.47</v>
      </c>
      <c r="D11" t="n">
        <v>3537.53</v>
      </c>
    </row>
    <row r="12">
      <c r="A12" t="inlineStr">
        <is>
          <t>2024-11</t>
        </is>
      </c>
      <c r="B12" t="n">
        <v>105955.86</v>
      </c>
      <c r="C12" t="n">
        <v>29472.56</v>
      </c>
      <c r="D12" t="n">
        <v>4082.56</v>
      </c>
    </row>
    <row r="13">
      <c r="A13" t="inlineStr">
        <is>
          <t>2024-12</t>
        </is>
      </c>
      <c r="B13" t="n">
        <v>144873.55</v>
      </c>
      <c r="C13" t="n">
        <v>28076.18</v>
      </c>
      <c r="D13" t="n">
        <v>2542.09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cogs</t>
        </is>
      </c>
      <c r="C1" s="1" t="inlineStr">
        <is>
          <t>payroll</t>
        </is>
      </c>
      <c r="D1" s="1" t="inlineStr">
        <is>
          <t>marketing</t>
        </is>
      </c>
      <c r="E1" s="1" t="inlineStr">
        <is>
          <t>operations</t>
        </is>
      </c>
    </row>
    <row r="2">
      <c r="A2" t="inlineStr">
        <is>
          <t>2024-01</t>
        </is>
      </c>
      <c r="B2" t="n">
        <v>39807.1</v>
      </c>
      <c r="C2" t="n">
        <v>23459.96</v>
      </c>
      <c r="D2" t="n">
        <v>13689.24</v>
      </c>
      <c r="E2" t="n">
        <v>14827.22</v>
      </c>
    </row>
    <row r="3">
      <c r="A3" t="inlineStr">
        <is>
          <t>2024-02</t>
        </is>
      </c>
      <c r="B3" t="n">
        <v>52601.08</v>
      </c>
      <c r="C3" t="n">
        <v>19118.02</v>
      </c>
      <c r="D3" t="n">
        <v>11124.25</v>
      </c>
      <c r="E3" t="n">
        <v>9871.52</v>
      </c>
    </row>
    <row r="4">
      <c r="A4" t="inlineStr">
        <is>
          <t>2024-03</t>
        </is>
      </c>
      <c r="B4" t="n">
        <v>43395.65</v>
      </c>
      <c r="C4" t="n">
        <v>19599.27</v>
      </c>
      <c r="D4" t="n">
        <v>12348.07</v>
      </c>
      <c r="E4" t="n">
        <v>8466.42</v>
      </c>
    </row>
    <row r="5">
      <c r="A5" t="inlineStr">
        <is>
          <t>2024-04</t>
        </is>
      </c>
      <c r="B5" t="n">
        <v>59783.12</v>
      </c>
      <c r="C5" t="n">
        <v>18058.9</v>
      </c>
      <c r="D5" t="n">
        <v>14944.99</v>
      </c>
      <c r="E5" t="n">
        <v>10251.07</v>
      </c>
    </row>
    <row r="6">
      <c r="A6" t="inlineStr">
        <is>
          <t>2024-05</t>
        </is>
      </c>
      <c r="B6" t="n">
        <v>51174.62</v>
      </c>
      <c r="C6" t="n">
        <v>24295.4</v>
      </c>
      <c r="D6" t="n">
        <v>13251.34</v>
      </c>
      <c r="E6" t="n">
        <v>10348.75</v>
      </c>
    </row>
    <row r="7">
      <c r="A7" t="inlineStr">
        <is>
          <t>2024-06</t>
        </is>
      </c>
      <c r="B7" t="n">
        <v>65809.09</v>
      </c>
      <c r="C7" t="n">
        <v>23318.81</v>
      </c>
      <c r="D7" t="n">
        <v>12196.53</v>
      </c>
      <c r="E7" t="n">
        <v>13295.33</v>
      </c>
    </row>
    <row r="8">
      <c r="A8" t="inlineStr">
        <is>
          <t>2024-07</t>
        </is>
      </c>
      <c r="B8" t="n">
        <v>60909.81</v>
      </c>
      <c r="C8" t="n">
        <v>23641.32</v>
      </c>
      <c r="D8" t="n">
        <v>12269.69</v>
      </c>
      <c r="E8" t="n">
        <v>12456.26</v>
      </c>
    </row>
    <row r="9">
      <c r="A9" t="inlineStr">
        <is>
          <t>2024-08</t>
        </is>
      </c>
      <c r="B9" t="n">
        <v>46557.57</v>
      </c>
      <c r="C9" t="n">
        <v>24245.83</v>
      </c>
      <c r="D9" t="n">
        <v>8951.35</v>
      </c>
      <c r="E9" t="n">
        <v>14271.19</v>
      </c>
    </row>
    <row r="10">
      <c r="A10" t="inlineStr">
        <is>
          <t>2024-09</t>
        </is>
      </c>
      <c r="B10" t="n">
        <v>65793.61</v>
      </c>
      <c r="C10" t="n">
        <v>21671.33</v>
      </c>
      <c r="D10" t="n">
        <v>5400.63</v>
      </c>
      <c r="E10" t="n">
        <v>13314.51</v>
      </c>
    </row>
    <row r="11">
      <c r="A11" t="inlineStr">
        <is>
          <t>2024-10</t>
        </is>
      </c>
      <c r="B11" t="n">
        <v>64776.28</v>
      </c>
      <c r="C11" t="n">
        <v>22549.93</v>
      </c>
      <c r="D11" t="n">
        <v>10677.33</v>
      </c>
      <c r="E11" t="n">
        <v>11251.09</v>
      </c>
    </row>
    <row r="12">
      <c r="A12" t="inlineStr">
        <is>
          <t>2024-11</t>
        </is>
      </c>
      <c r="B12" t="n">
        <v>49336.7</v>
      </c>
      <c r="C12" t="n">
        <v>19118.38</v>
      </c>
      <c r="D12" t="n">
        <v>7789.6</v>
      </c>
      <c r="E12" t="n">
        <v>14512.16</v>
      </c>
    </row>
    <row r="13">
      <c r="A13" t="inlineStr">
        <is>
          <t>2024-12</t>
        </is>
      </c>
      <c r="B13" t="n">
        <v>45668.14</v>
      </c>
      <c r="C13" t="n">
        <v>18916.24</v>
      </c>
      <c r="D13" t="n">
        <v>10310.87</v>
      </c>
      <c r="E13" t="n">
        <v>9335.780000000001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budget_revenue</t>
        </is>
      </c>
      <c r="C1" s="1" t="inlineStr">
        <is>
          <t>budget_expense</t>
        </is>
      </c>
    </row>
    <row r="2">
      <c r="A2" t="inlineStr">
        <is>
          <t>2024-01</t>
        </is>
      </c>
      <c r="B2" t="n">
        <v>95000</v>
      </c>
      <c r="C2" t="n">
        <v>68000</v>
      </c>
    </row>
    <row r="3">
      <c r="A3" t="inlineStr">
        <is>
          <t>2024-02</t>
        </is>
      </c>
      <c r="B3" t="n">
        <v>100454.55</v>
      </c>
      <c r="C3" t="n">
        <v>70727.27</v>
      </c>
    </row>
    <row r="4">
      <c r="A4" t="inlineStr">
        <is>
          <t>2024-03</t>
        </is>
      </c>
      <c r="B4" t="n">
        <v>105909.09</v>
      </c>
      <c r="C4" t="n">
        <v>73454.55</v>
      </c>
    </row>
    <row r="5">
      <c r="A5" t="inlineStr">
        <is>
          <t>2024-04</t>
        </is>
      </c>
      <c r="B5" t="n">
        <v>111363.64</v>
      </c>
      <c r="C5" t="n">
        <v>76181.82000000001</v>
      </c>
    </row>
    <row r="6">
      <c r="A6" t="inlineStr">
        <is>
          <t>2024-05</t>
        </is>
      </c>
      <c r="B6" t="n">
        <v>116818.18</v>
      </c>
      <c r="C6" t="n">
        <v>78909.09</v>
      </c>
    </row>
    <row r="7">
      <c r="A7" t="inlineStr">
        <is>
          <t>2024-06</t>
        </is>
      </c>
      <c r="B7" t="n">
        <v>122272.73</v>
      </c>
      <c r="C7" t="n">
        <v>81636.36</v>
      </c>
    </row>
    <row r="8">
      <c r="A8" t="inlineStr">
        <is>
          <t>2024-07</t>
        </is>
      </c>
      <c r="B8" t="n">
        <v>127727.27</v>
      </c>
      <c r="C8" t="n">
        <v>84363.64</v>
      </c>
    </row>
    <row r="9">
      <c r="A9" t="inlineStr">
        <is>
          <t>2024-08</t>
        </is>
      </c>
      <c r="B9" t="n">
        <v>133181.82</v>
      </c>
      <c r="C9" t="n">
        <v>87090.91</v>
      </c>
    </row>
    <row r="10">
      <c r="A10" t="inlineStr">
        <is>
          <t>2024-09</t>
        </is>
      </c>
      <c r="B10" t="n">
        <v>138636.36</v>
      </c>
      <c r="C10" t="n">
        <v>89818.17999999999</v>
      </c>
    </row>
    <row r="11">
      <c r="A11" t="inlineStr">
        <is>
          <t>2024-10</t>
        </is>
      </c>
      <c r="B11" t="n">
        <v>144090.91</v>
      </c>
      <c r="C11" t="n">
        <v>92545.45</v>
      </c>
    </row>
    <row r="12">
      <c r="A12" t="inlineStr">
        <is>
          <t>2024-11</t>
        </is>
      </c>
      <c r="B12" t="n">
        <v>149545.45</v>
      </c>
      <c r="C12" t="n">
        <v>95272.73</v>
      </c>
    </row>
    <row r="13">
      <c r="A13" t="inlineStr">
        <is>
          <t>2024-12</t>
        </is>
      </c>
      <c r="B13" t="n">
        <v>155000</v>
      </c>
      <c r="C13" t="n">
        <v>98000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opening_cash</t>
        </is>
      </c>
      <c r="C1" s="1" t="inlineStr">
        <is>
          <t>cash_in</t>
        </is>
      </c>
      <c r="D1" s="1" t="inlineStr">
        <is>
          <t>cash_out</t>
        </is>
      </c>
    </row>
    <row r="2">
      <c r="A2" t="inlineStr">
        <is>
          <t>2024-01</t>
        </is>
      </c>
      <c r="B2" t="n">
        <v>50000</v>
      </c>
      <c r="C2" t="n">
        <v>163547.6</v>
      </c>
      <c r="D2" t="n">
        <v>91783.52</v>
      </c>
    </row>
    <row r="3">
      <c r="A3" t="inlineStr">
        <is>
          <t>2024-02</t>
        </is>
      </c>
      <c r="B3" t="n">
        <v>53818.18</v>
      </c>
      <c r="C3" t="n">
        <v>140101.71</v>
      </c>
      <c r="D3" t="n">
        <v>92714.87000000001</v>
      </c>
    </row>
    <row r="4">
      <c r="A4" t="inlineStr">
        <is>
          <t>2024-03</t>
        </is>
      </c>
      <c r="B4" t="n">
        <v>57636.36</v>
      </c>
      <c r="C4" t="n">
        <v>164150.28</v>
      </c>
      <c r="D4" t="n">
        <v>83809.40999999999</v>
      </c>
    </row>
    <row r="5">
      <c r="A5" t="inlineStr">
        <is>
          <t>2024-04</t>
        </is>
      </c>
      <c r="B5" t="n">
        <v>61454.55</v>
      </c>
      <c r="C5" t="n">
        <v>146646.98</v>
      </c>
      <c r="D5" t="n">
        <v>103038.08</v>
      </c>
    </row>
    <row r="6">
      <c r="A6" t="inlineStr">
        <is>
          <t>2024-05</t>
        </is>
      </c>
      <c r="B6" t="n">
        <v>65272.73</v>
      </c>
      <c r="C6" t="n">
        <v>110923.53</v>
      </c>
      <c r="D6" t="n">
        <v>99070.11</v>
      </c>
    </row>
    <row r="7">
      <c r="A7" t="inlineStr">
        <is>
          <t>2024-06</t>
        </is>
      </c>
      <c r="B7" t="n">
        <v>69090.91</v>
      </c>
      <c r="C7" t="n">
        <v>166699.04</v>
      </c>
      <c r="D7" t="n">
        <v>114619.76</v>
      </c>
    </row>
    <row r="8">
      <c r="A8" t="inlineStr">
        <is>
          <t>2024-07</t>
        </is>
      </c>
      <c r="B8" t="n">
        <v>72909.09</v>
      </c>
      <c r="C8" t="n">
        <v>165773.33</v>
      </c>
      <c r="D8" t="n">
        <v>109277.08</v>
      </c>
    </row>
    <row r="9">
      <c r="A9" t="inlineStr">
        <is>
          <t>2024-08</t>
        </is>
      </c>
      <c r="B9" t="n">
        <v>76727.27</v>
      </c>
      <c r="C9" t="n">
        <v>165215.76</v>
      </c>
      <c r="D9" t="n">
        <v>94025.94</v>
      </c>
    </row>
    <row r="10">
      <c r="A10" t="inlineStr">
        <is>
          <t>2024-09</t>
        </is>
      </c>
      <c r="B10" t="n">
        <v>80545.45</v>
      </c>
      <c r="C10" t="n">
        <v>117905.57</v>
      </c>
      <c r="D10" t="n">
        <v>106180.08</v>
      </c>
    </row>
    <row r="11">
      <c r="A11" t="inlineStr">
        <is>
          <t>2024-10</t>
        </is>
      </c>
      <c r="B11" t="n">
        <v>84363.64</v>
      </c>
      <c r="C11" t="n">
        <v>133446.02</v>
      </c>
      <c r="D11" t="n">
        <v>109254.63</v>
      </c>
    </row>
    <row r="12">
      <c r="A12" t="inlineStr">
        <is>
          <t>2024-11</t>
        </is>
      </c>
      <c r="B12" t="n">
        <v>88181.82000000001</v>
      </c>
      <c r="C12" t="n">
        <v>139510.98</v>
      </c>
      <c r="D12" t="n">
        <v>90756.84000000001</v>
      </c>
    </row>
    <row r="13">
      <c r="A13" t="inlineStr">
        <is>
          <t>2024-12</t>
        </is>
      </c>
      <c r="B13" t="n">
        <v>92000</v>
      </c>
      <c r="C13" t="n">
        <v>175491.82</v>
      </c>
      <c r="D13" t="n">
        <v>84231.03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excel_formula_pattern</t>
        </is>
      </c>
    </row>
    <row r="2">
      <c r="A2" t="inlineStr">
        <is>
          <t>total_revenue</t>
        </is>
      </c>
      <c r="B2">
        <f>SUM(revenue row)</f>
        <v/>
      </c>
    </row>
    <row r="3">
      <c r="A3" t="inlineStr">
        <is>
          <t>total_expense</t>
        </is>
      </c>
      <c r="B3">
        <f>SUM(expense row)</f>
        <v/>
      </c>
    </row>
    <row r="4">
      <c r="A4" t="inlineStr">
        <is>
          <t>net_profit</t>
        </is>
      </c>
      <c r="B4">
        <f>revenue-expense</f>
        <v/>
      </c>
    </row>
    <row r="5">
      <c r="A5" t="inlineStr">
        <is>
          <t>profit_margin</t>
        </is>
      </c>
      <c r="B5">
        <f>profit/revenue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