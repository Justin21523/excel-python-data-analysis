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庫存資料"/>
    <sheet r:id="rId2" sheetId="2" name="函數教學"/>
  </sheets>
  <calcPr fullCalcOnLoad="1"/>
</workbook>
</file>

<file path=xl/sharedStrings.xml><?xml version="1.0" encoding="utf-8"?>
<sst xmlns="http://schemas.openxmlformats.org/spreadsheetml/2006/main" count="1026" uniqueCount="593">
  <si>
    <t>🎯 Case 02: 庫存儀表板 - 函數教學</t>
  </si>
  <si>
    <t>✅ 練習 1: 使用 IF 判斷庫存狀態</t>
  </si>
  <si>
    <t>公式：</t>
  </si>
  <si>
    <t>說明：</t>
  </si>
  <si>
    <t>根據當前庫存與安全庫存的關係判斷狀態</t>
  </si>
  <si>
    <t>✅ 練習 2: 使用 IFS 簡化多條件</t>
  </si>
  <si>
    <t>✅ 練習 3: 使用條件格式</t>
  </si>
  <si>
    <t>步驟：</t>
  </si>
  <si>
    <t>選取庫存欄位 → 常用 → 條件格式 → 資料條</t>
  </si>
  <si>
    <t>✅ 練習 4: 使用 COUNTIFS 統計各狀態產品數</t>
  </si>
  <si>
    <t>缺貨產品數：</t>
  </si>
  <si>
    <t>警告產品數：</t>
  </si>
  <si>
    <t>✅ 練習 5: 建立樞紐分析表</t>
  </si>
  <si>
    <t>插入 → 樞紐分析表 → 列：類別、值：庫存金額</t>
  </si>
  <si>
    <t>產品編號</t>
  </si>
  <si>
    <t>產品名稱</t>
  </si>
  <si>
    <t>產品類別</t>
  </si>
  <si>
    <t>當前庫存</t>
  </si>
  <si>
    <t>安全庫存</t>
  </si>
  <si>
    <t>最大庫存</t>
  </si>
  <si>
    <t>單位成本</t>
  </si>
  <si>
    <t>倉庫位置</t>
  </si>
  <si>
    <t>供應商</t>
  </si>
  <si>
    <t>最後進貨日</t>
  </si>
  <si>
    <t>SKU00001</t>
  </si>
  <si>
    <t>為了 項目</t>
  </si>
  <si>
    <t>家電</t>
  </si>
  <si>
    <t>C倉</t>
  </si>
  <si>
    <t>華聯電子</t>
  </si>
  <si>
    <t>SKU00002</t>
  </si>
  <si>
    <t>成功 一起</t>
  </si>
  <si>
    <t>食品</t>
  </si>
  <si>
    <t>B倉</t>
  </si>
  <si>
    <t>碩華電腦資訊有限公司</t>
  </si>
  <si>
    <t>SKU00003</t>
  </si>
  <si>
    <t>類別 帖子</t>
  </si>
  <si>
    <t>A倉</t>
  </si>
  <si>
    <t>光新三越百貨有限公司</t>
  </si>
  <si>
    <t>SKU00004</t>
  </si>
  <si>
    <t>行業 包括</t>
  </si>
  <si>
    <t>電子產品</t>
  </si>
  <si>
    <t>台灣BIM有限公司</t>
  </si>
  <si>
    <t>SKU00005</t>
  </si>
  <si>
    <t>系列 歷史</t>
  </si>
  <si>
    <t>日用品</t>
  </si>
  <si>
    <t>台灣酒菸</t>
  </si>
  <si>
    <t>SKU00006</t>
  </si>
  <si>
    <t>部分 發展</t>
  </si>
  <si>
    <t>冠智科技有限公司</t>
  </si>
  <si>
    <t>SKU00007</t>
  </si>
  <si>
    <t>很多 成功</t>
  </si>
  <si>
    <t>台灣生資堂資訊有限公司</t>
  </si>
  <si>
    <t>SKU00008</t>
  </si>
  <si>
    <t>然后 具有</t>
  </si>
  <si>
    <t>服飾</t>
  </si>
  <si>
    <t>華福大飯店資訊有限公司</t>
  </si>
  <si>
    <t>SKU00009</t>
  </si>
  <si>
    <t>參加 閱讀</t>
  </si>
  <si>
    <t>達台電子有限公司</t>
  </si>
  <si>
    <t>SKU00010</t>
  </si>
  <si>
    <t>如何 可能</t>
  </si>
  <si>
    <t>信永藥品股份有限公司</t>
  </si>
  <si>
    <t>SKU00011</t>
  </si>
  <si>
    <t>會員 很多</t>
  </si>
  <si>
    <t>達台電子股份有限公司</t>
  </si>
  <si>
    <t>SKU00012</t>
  </si>
  <si>
    <t>論壇 計劃</t>
  </si>
  <si>
    <t>台灣業糖有限公司</t>
  </si>
  <si>
    <t>SKU00013</t>
  </si>
  <si>
    <t>一點 可是</t>
  </si>
  <si>
    <t>華聯電子資訊有限公司</t>
  </si>
  <si>
    <t>SKU00014</t>
  </si>
  <si>
    <t>分析 作者</t>
  </si>
  <si>
    <t>遠西百貨有限公司</t>
  </si>
  <si>
    <t>SKU00015</t>
  </si>
  <si>
    <t>一切 資源</t>
  </si>
  <si>
    <t>台北眾大捷運股份有限公司</t>
  </si>
  <si>
    <t>SKU00016</t>
  </si>
  <si>
    <t>新聞 系統</t>
  </si>
  <si>
    <t>榮長海運股份有限公司</t>
  </si>
  <si>
    <t>SKU00017</t>
  </si>
  <si>
    <t>比較 因為</t>
  </si>
  <si>
    <t>台灣雅萊（Y'ORÉAL）</t>
  </si>
  <si>
    <t>SKU00018</t>
  </si>
  <si>
    <t>所有 那個</t>
  </si>
  <si>
    <t>台灣鐵高股份有限公司</t>
  </si>
  <si>
    <t>SKU00019</t>
  </si>
  <si>
    <t>表示 作品</t>
  </si>
  <si>
    <t>大八電視</t>
  </si>
  <si>
    <t>SKU00020</t>
  </si>
  <si>
    <t>產品 首頁</t>
  </si>
  <si>
    <t>鐵台資訊有限公司</t>
  </si>
  <si>
    <t>SKU00021</t>
  </si>
  <si>
    <t>那麼 聯系</t>
  </si>
  <si>
    <t>台灣迪奧汽車有限公司</t>
  </si>
  <si>
    <t>SKU00022</t>
  </si>
  <si>
    <t>是一 一樣</t>
  </si>
  <si>
    <t>SKU00023</t>
  </si>
  <si>
    <t>一直 決定</t>
  </si>
  <si>
    <t>SKU00024</t>
  </si>
  <si>
    <t>更新 方面</t>
  </si>
  <si>
    <t>天中電視資訊有限公司</t>
  </si>
  <si>
    <t>SKU00025</t>
  </si>
  <si>
    <t>中心 深圳</t>
  </si>
  <si>
    <t>豐兆國際商業銀行</t>
  </si>
  <si>
    <t>SKU00026</t>
  </si>
  <si>
    <t>也是 更新</t>
  </si>
  <si>
    <t>天中電視股份有限公司</t>
  </si>
  <si>
    <t>SKU00027</t>
  </si>
  <si>
    <t>學校 一起</t>
  </si>
  <si>
    <t>海鴻精密股份有限公司</t>
  </si>
  <si>
    <t>SKU00028</t>
  </si>
  <si>
    <t>是否 基本</t>
  </si>
  <si>
    <t>一統星巴克</t>
  </si>
  <si>
    <t>SKU00029</t>
  </si>
  <si>
    <t>商品 工作</t>
  </si>
  <si>
    <t>見遠雜誌有限公司</t>
  </si>
  <si>
    <t>SKU00030</t>
  </si>
  <si>
    <t>信息 項目</t>
  </si>
  <si>
    <t>旗花（台灣銀）行股份有限公司</t>
  </si>
  <si>
    <t>SKU00031</t>
  </si>
  <si>
    <t>然后 市場</t>
  </si>
  <si>
    <t>SKU00032</t>
  </si>
  <si>
    <t>的人 你的</t>
  </si>
  <si>
    <t>光新三越百貨</t>
  </si>
  <si>
    <t>SKU00033</t>
  </si>
  <si>
    <t>瀏覽 直接</t>
  </si>
  <si>
    <t>SKU00034</t>
  </si>
  <si>
    <t>一定 瀏覽</t>
  </si>
  <si>
    <t>中台信託商業銀行資訊有限公司</t>
  </si>
  <si>
    <t>SKU00035</t>
  </si>
  <si>
    <t>然后 所有</t>
  </si>
  <si>
    <t>鮮爭</t>
  </si>
  <si>
    <t>SKU00036</t>
  </si>
  <si>
    <t>如何 根據</t>
  </si>
  <si>
    <t>鮮爭資訊有限公司</t>
  </si>
  <si>
    <t>SKU00037</t>
  </si>
  <si>
    <t>的人 作品</t>
  </si>
  <si>
    <t>興復航空運輸資訊有限公司</t>
  </si>
  <si>
    <t>SKU00038</t>
  </si>
  <si>
    <t>設備 要求</t>
  </si>
  <si>
    <t>鐵台股份有限公司</t>
  </si>
  <si>
    <t>SKU00039</t>
  </si>
  <si>
    <t>服務 自己</t>
  </si>
  <si>
    <t>台灣士賓</t>
  </si>
  <si>
    <t>SKU00040</t>
  </si>
  <si>
    <t>雖然 通過</t>
  </si>
  <si>
    <t>合作庫金商業銀行有限公司</t>
  </si>
  <si>
    <t>SKU00041</t>
  </si>
  <si>
    <t>過程 美國</t>
  </si>
  <si>
    <t>SKU00042</t>
  </si>
  <si>
    <t>作品 方法</t>
  </si>
  <si>
    <t>華晶國際酒店資訊有限公司</t>
  </si>
  <si>
    <t>SKU00043</t>
  </si>
  <si>
    <t>影響 位置</t>
  </si>
  <si>
    <t>全味食品工業資訊有限公司</t>
  </si>
  <si>
    <t>SKU00044</t>
  </si>
  <si>
    <t>介紹 功能</t>
  </si>
  <si>
    <t>一統星巴克資訊有限公司</t>
  </si>
  <si>
    <t>SKU00045</t>
  </si>
  <si>
    <t>要求 免費</t>
  </si>
  <si>
    <t>台灣力電資訊有限公司</t>
  </si>
  <si>
    <t>SKU00046</t>
  </si>
  <si>
    <t>一次 作為</t>
  </si>
  <si>
    <t>明陽海運有限公司</t>
  </si>
  <si>
    <t>SKU00047</t>
  </si>
  <si>
    <t>大學 威望</t>
  </si>
  <si>
    <t>台灣BIM股份有限公司</t>
  </si>
  <si>
    <t>SKU00048</t>
  </si>
  <si>
    <t>報告 作者</t>
  </si>
  <si>
    <t>華中航空有限公司</t>
  </si>
  <si>
    <t>SKU00049</t>
  </si>
  <si>
    <t>是否 登錄</t>
  </si>
  <si>
    <t>聯燁鋼鐵資訊有限公司</t>
  </si>
  <si>
    <t>SKU00050</t>
  </si>
  <si>
    <t>功能 為什</t>
  </si>
  <si>
    <t>台北邦富商業銀行</t>
  </si>
  <si>
    <t>SKU00051</t>
  </si>
  <si>
    <t>一次 用戶</t>
  </si>
  <si>
    <t>都亞緻麗有限公司</t>
  </si>
  <si>
    <t>SKU00052</t>
  </si>
  <si>
    <t>操作 生活</t>
  </si>
  <si>
    <t>樂可旅遊集團股份有限公司</t>
  </si>
  <si>
    <t>SKU00053</t>
  </si>
  <si>
    <t>不要 國際</t>
  </si>
  <si>
    <t>SKU00054</t>
  </si>
  <si>
    <t>以上 威望</t>
  </si>
  <si>
    <t>SKU00055</t>
  </si>
  <si>
    <t>不會 大學</t>
  </si>
  <si>
    <t>華晶國際酒店有限公司</t>
  </si>
  <si>
    <t>SKU00056</t>
  </si>
  <si>
    <t>最新 投資</t>
  </si>
  <si>
    <t>達宏國際電子股份有限公司</t>
  </si>
  <si>
    <t>SKU00057</t>
  </si>
  <si>
    <t>更新 一般</t>
  </si>
  <si>
    <t>古太可口可樂有限公司</t>
  </si>
  <si>
    <t>SKU00058</t>
  </si>
  <si>
    <t>工作 同時</t>
  </si>
  <si>
    <t>輝燁企業有限公司</t>
  </si>
  <si>
    <t>SKU00059</t>
  </si>
  <si>
    <t>出來 之間</t>
  </si>
  <si>
    <t>秀威影城</t>
  </si>
  <si>
    <t>SKU00060</t>
  </si>
  <si>
    <t>最大 人員</t>
  </si>
  <si>
    <t>賓國大飯店股份有限公司</t>
  </si>
  <si>
    <t>SKU00061</t>
  </si>
  <si>
    <t>新聞 參加</t>
  </si>
  <si>
    <t>家宜家居（KIEA）股份有限公司</t>
  </si>
  <si>
    <t>SKU00062</t>
  </si>
  <si>
    <t>不斷 留言</t>
  </si>
  <si>
    <t>樂可旅遊集團</t>
  </si>
  <si>
    <t>SKU00063</t>
  </si>
  <si>
    <t>最大 當前</t>
  </si>
  <si>
    <t>榮長航空資訊有限公司</t>
  </si>
  <si>
    <t>SKU00064</t>
  </si>
  <si>
    <t>提高 主要</t>
  </si>
  <si>
    <t>合作庫金商業銀行資訊有限公司</t>
  </si>
  <si>
    <t>SKU00065</t>
  </si>
  <si>
    <t>音樂 為了</t>
  </si>
  <si>
    <t>SKU00066</t>
  </si>
  <si>
    <t>發生 能力</t>
  </si>
  <si>
    <t>神漢名店百貨資訊有限公司</t>
  </si>
  <si>
    <t>SKU00067</t>
  </si>
  <si>
    <t>可以 運行</t>
  </si>
  <si>
    <t>律理法律股份有限公司</t>
  </si>
  <si>
    <t>SKU00068</t>
  </si>
  <si>
    <t>那麼 應該</t>
  </si>
  <si>
    <t>共公電視股份有限公司</t>
  </si>
  <si>
    <t>SKU00069</t>
  </si>
  <si>
    <t>這個 責任</t>
  </si>
  <si>
    <t>星燦國際旅行社股份有限公司</t>
  </si>
  <si>
    <t>SKU00070</t>
  </si>
  <si>
    <t>東西 重要</t>
  </si>
  <si>
    <t>心安食品服務（斯摩漢堡）</t>
  </si>
  <si>
    <t>SKU00071</t>
  </si>
  <si>
    <t>銷售 社會</t>
  </si>
  <si>
    <t>遠西百貨股份有限公司</t>
  </si>
  <si>
    <t>SKU00072</t>
  </si>
  <si>
    <t>基本 位置</t>
  </si>
  <si>
    <t>見遠雜誌股份有限公司</t>
  </si>
  <si>
    <t>SKU00073</t>
  </si>
  <si>
    <t>聯系 加入</t>
  </si>
  <si>
    <t>星燦國際旅行社有限公司</t>
  </si>
  <si>
    <t>SKU00074</t>
  </si>
  <si>
    <t>完成 當前</t>
  </si>
  <si>
    <t>平太洋崇光百貨資訊有限公司</t>
  </si>
  <si>
    <t>SKU00075</t>
  </si>
  <si>
    <t>上海 隻要</t>
  </si>
  <si>
    <t>台灣士賓股份有限公司</t>
  </si>
  <si>
    <t>SKU00076</t>
  </si>
  <si>
    <t>沒有 擁有</t>
  </si>
  <si>
    <t>SKU00077</t>
  </si>
  <si>
    <t>技術 可是</t>
  </si>
  <si>
    <t>台灣五星電子資訊有限公司</t>
  </si>
  <si>
    <t>SKU00078</t>
  </si>
  <si>
    <t>規定 以及</t>
  </si>
  <si>
    <t>創群光電（奇原美電子）有限公司</t>
  </si>
  <si>
    <t>SKU00079</t>
  </si>
  <si>
    <t>事情 有些</t>
  </si>
  <si>
    <t>一統企業有限公司</t>
  </si>
  <si>
    <t>SKU00080</t>
  </si>
  <si>
    <t>積分 兩個</t>
  </si>
  <si>
    <t>雄豹旅遊資訊有限公司</t>
  </si>
  <si>
    <t>SKU00081</t>
  </si>
  <si>
    <t>科技 表示</t>
  </si>
  <si>
    <t>一統星巴克有限公司</t>
  </si>
  <si>
    <t>SKU00082</t>
  </si>
  <si>
    <t>目前 增加</t>
  </si>
  <si>
    <t>達廣電腦股份有限公司</t>
  </si>
  <si>
    <t>SKU00083</t>
  </si>
  <si>
    <t>關系 帖子</t>
  </si>
  <si>
    <t>台灣印無品良有限公司</t>
  </si>
  <si>
    <t>SKU00084</t>
  </si>
  <si>
    <t>能夠 主題</t>
  </si>
  <si>
    <t>麥當當有限公司</t>
  </si>
  <si>
    <t>SKU00085</t>
  </si>
  <si>
    <t>發表 進行</t>
  </si>
  <si>
    <t>國中鋼鐵股份有限公司</t>
  </si>
  <si>
    <t>SKU00086</t>
  </si>
  <si>
    <t>網上 網上</t>
  </si>
  <si>
    <t>美奧廣告資訊有限公司</t>
  </si>
  <si>
    <t>SKU00087</t>
  </si>
  <si>
    <t>日期 廣告</t>
  </si>
  <si>
    <t>共公電視有限公司</t>
  </si>
  <si>
    <t>SKU00088</t>
  </si>
  <si>
    <t>社區 客戶</t>
  </si>
  <si>
    <t>都亞緻麗</t>
  </si>
  <si>
    <t>SKU00089</t>
  </si>
  <si>
    <t>建設 的人</t>
  </si>
  <si>
    <t>台灣地土銀行有限公司</t>
  </si>
  <si>
    <t>SKU00090</t>
  </si>
  <si>
    <t>進行 更多</t>
  </si>
  <si>
    <t>榮長海運</t>
  </si>
  <si>
    <t>SKU00091</t>
  </si>
  <si>
    <t>軟體 到了</t>
  </si>
  <si>
    <t>聯燁鋼鐵有限公司</t>
  </si>
  <si>
    <t>SKU00092</t>
  </si>
  <si>
    <t>組織 無法</t>
  </si>
  <si>
    <t>橋子王生技有限公司</t>
  </si>
  <si>
    <t>SKU00093</t>
  </si>
  <si>
    <t>一樣 台北</t>
  </si>
  <si>
    <t>台灣人銀行有限公司</t>
  </si>
  <si>
    <t>SKU00094</t>
  </si>
  <si>
    <t>起來 國際</t>
  </si>
  <si>
    <t>SKU00095</t>
  </si>
  <si>
    <t>國家 男人</t>
  </si>
  <si>
    <t>台北眾大捷運</t>
  </si>
  <si>
    <t>SKU00096</t>
  </si>
  <si>
    <t>位置 人民</t>
  </si>
  <si>
    <t>SKU00097</t>
  </si>
  <si>
    <t>問題 游戲</t>
  </si>
  <si>
    <t>台灣力電有限公司</t>
  </si>
  <si>
    <t>SKU00098</t>
  </si>
  <si>
    <t>選擇 支持</t>
  </si>
  <si>
    <t>SKU00099</t>
  </si>
  <si>
    <t>之后 地址</t>
  </si>
  <si>
    <t>明陽海運資訊有限公司</t>
  </si>
  <si>
    <t>SKU00100</t>
  </si>
  <si>
    <t>世界 部門</t>
  </si>
  <si>
    <t>家宜家居（KIEA）</t>
  </si>
  <si>
    <t>SKU00101</t>
  </si>
  <si>
    <t>帖子 汽車</t>
  </si>
  <si>
    <t>見遠雜誌</t>
  </si>
  <si>
    <t>SKU00102</t>
  </si>
  <si>
    <t>任何 教育</t>
  </si>
  <si>
    <t>台灣酒菸資訊有限公司</t>
  </si>
  <si>
    <t>SKU00103</t>
  </si>
  <si>
    <t>台北 經營</t>
  </si>
  <si>
    <t>達友光電</t>
  </si>
  <si>
    <t>SKU00104</t>
  </si>
  <si>
    <t>網站 一點</t>
  </si>
  <si>
    <t>SKU00105</t>
  </si>
  <si>
    <t>如何 在線</t>
  </si>
  <si>
    <t>麥當當股份有限公司</t>
  </si>
  <si>
    <t>SKU00106</t>
  </si>
  <si>
    <t>過程 有限</t>
  </si>
  <si>
    <t>台灣地土銀行資訊有限公司</t>
  </si>
  <si>
    <t>SKU00107</t>
  </si>
  <si>
    <t>系列 一些</t>
  </si>
  <si>
    <t>榮長航空</t>
  </si>
  <si>
    <t>SKU00108</t>
  </si>
  <si>
    <t>有些 如何</t>
  </si>
  <si>
    <t>台灣迪奧汽車股份有限公司</t>
  </si>
  <si>
    <t>SKU00109</t>
  </si>
  <si>
    <t>大家 顯示</t>
  </si>
  <si>
    <t>碁宏有限公司</t>
  </si>
  <si>
    <t>SKU00110</t>
  </si>
  <si>
    <t>關於 朋友</t>
  </si>
  <si>
    <t>SKU00111</t>
  </si>
  <si>
    <t>需要 實現</t>
  </si>
  <si>
    <t>華聯電子有限公司</t>
  </si>
  <si>
    <t>SKU00112</t>
  </si>
  <si>
    <t>有些 影響</t>
  </si>
  <si>
    <t>SKU00113</t>
  </si>
  <si>
    <t>來自 東西</t>
  </si>
  <si>
    <t>SKU00114</t>
  </si>
  <si>
    <t>不過 時候</t>
  </si>
  <si>
    <t>湖劍山世界股份有限公司</t>
  </si>
  <si>
    <t>SKU00115</t>
  </si>
  <si>
    <t>雖然 有限</t>
  </si>
  <si>
    <t>一統企業</t>
  </si>
  <si>
    <t>SKU00116</t>
  </si>
  <si>
    <t>部門 基本</t>
  </si>
  <si>
    <t>台日積體電路資訊有限公司</t>
  </si>
  <si>
    <t>SKU00117</t>
  </si>
  <si>
    <t>如果 發現</t>
  </si>
  <si>
    <t>SKU00118</t>
  </si>
  <si>
    <t>什麼 網絡</t>
  </si>
  <si>
    <t>台北登來喜大飯店股份有限公司</t>
  </si>
  <si>
    <t>SKU00119</t>
  </si>
  <si>
    <t>時候 問題</t>
  </si>
  <si>
    <t>風微廣場有限公司</t>
  </si>
  <si>
    <t>SKU00120</t>
  </si>
  <si>
    <t>特別 法律</t>
  </si>
  <si>
    <t>旗花（台灣銀）行有限公司</t>
  </si>
  <si>
    <t>SKU00121</t>
  </si>
  <si>
    <t>不會 類別</t>
  </si>
  <si>
    <t>愛味之</t>
  </si>
  <si>
    <t>SKU00122</t>
  </si>
  <si>
    <t>如此 那麼</t>
  </si>
  <si>
    <t>樂可旅遊集團資訊有限公司</t>
  </si>
  <si>
    <t>SKU00123</t>
  </si>
  <si>
    <t>美國 方面</t>
  </si>
  <si>
    <t>台灣BIM</t>
  </si>
  <si>
    <t>SKU00124</t>
  </si>
  <si>
    <t>最新 聯系</t>
  </si>
  <si>
    <t>旗花（台灣銀）行</t>
  </si>
  <si>
    <t>SKU00125</t>
  </si>
  <si>
    <t>系列 進入</t>
  </si>
  <si>
    <t>SKU00126</t>
  </si>
  <si>
    <t>教育 類型</t>
  </si>
  <si>
    <t>品王餐飲有限公司</t>
  </si>
  <si>
    <t>SKU00127</t>
  </si>
  <si>
    <t>完成 新聞</t>
  </si>
  <si>
    <t>SKU00128</t>
  </si>
  <si>
    <t>標題 實現</t>
  </si>
  <si>
    <t>雄遠建設事業</t>
  </si>
  <si>
    <t>SKU00129</t>
  </si>
  <si>
    <t>如何 怎麼</t>
  </si>
  <si>
    <t>月日光半導體資訊有限公司</t>
  </si>
  <si>
    <t>SKU00130</t>
  </si>
  <si>
    <t>部門 主題</t>
  </si>
  <si>
    <t>SKU00131</t>
  </si>
  <si>
    <t>本站 圖片</t>
  </si>
  <si>
    <t>律理法律有限公司</t>
  </si>
  <si>
    <t>SKU00132</t>
  </si>
  <si>
    <t>那些 方式</t>
  </si>
  <si>
    <t>SKU00133</t>
  </si>
  <si>
    <t>一定 推薦</t>
  </si>
  <si>
    <t>資華粧業（生資堂）有限公司</t>
  </si>
  <si>
    <t>SKU00134</t>
  </si>
  <si>
    <t>電影 增加</t>
  </si>
  <si>
    <t>台灣五星電子股份有限公司</t>
  </si>
  <si>
    <t>SKU00135</t>
  </si>
  <si>
    <t>問題 之間</t>
  </si>
  <si>
    <t>國中鋼鐵</t>
  </si>
  <si>
    <t>SKU00136</t>
  </si>
  <si>
    <t>全部 那個</t>
  </si>
  <si>
    <t>SKU00137</t>
  </si>
  <si>
    <t>歷史 登錄</t>
  </si>
  <si>
    <t>SKU00138</t>
  </si>
  <si>
    <t>更多 通過</t>
  </si>
  <si>
    <t>品誠有限公司</t>
  </si>
  <si>
    <t>SKU00139</t>
  </si>
  <si>
    <t>學生 正在</t>
  </si>
  <si>
    <t>律理法律資訊有限公司</t>
  </si>
  <si>
    <t>SKU00140</t>
  </si>
  <si>
    <t>資料 提高</t>
  </si>
  <si>
    <t>雄豹旅遊有限公司</t>
  </si>
  <si>
    <t>SKU00141</t>
  </si>
  <si>
    <t>可能 瀏覽</t>
  </si>
  <si>
    <t>律理法律</t>
  </si>
  <si>
    <t>SKU00142</t>
  </si>
  <si>
    <t>目前 工作</t>
  </si>
  <si>
    <t>台灣五星電子有限公司</t>
  </si>
  <si>
    <t>SKU00143</t>
  </si>
  <si>
    <t>投資 增加</t>
  </si>
  <si>
    <t>SKU00144</t>
  </si>
  <si>
    <t>類型 發表</t>
  </si>
  <si>
    <t>AYHOO!摩奇有限公司</t>
  </si>
  <si>
    <t>SKU00145</t>
  </si>
  <si>
    <t>電話 社區</t>
  </si>
  <si>
    <t>SKU00146</t>
  </si>
  <si>
    <t>原因 提高</t>
  </si>
  <si>
    <t>SKU00147</t>
  </si>
  <si>
    <t>問題 下載</t>
  </si>
  <si>
    <t>達廣電腦資訊有限公司</t>
  </si>
  <si>
    <t>SKU00148</t>
  </si>
  <si>
    <t>說明 你們</t>
  </si>
  <si>
    <t>SKU00149</t>
  </si>
  <si>
    <t>游戲 免費</t>
  </si>
  <si>
    <t>Goagle</t>
  </si>
  <si>
    <t>SKU00150</t>
  </si>
  <si>
    <t>怎麼 部門</t>
  </si>
  <si>
    <t>達廣電腦</t>
  </si>
  <si>
    <t>SKU00151</t>
  </si>
  <si>
    <t>系統 電腦</t>
  </si>
  <si>
    <t>塑台石化有限公司</t>
  </si>
  <si>
    <t>SKU00152</t>
  </si>
  <si>
    <t>發生 支持</t>
  </si>
  <si>
    <t>台灣印無品良股份有限公司</t>
  </si>
  <si>
    <t>SKU00153</t>
  </si>
  <si>
    <t>幫助 這個</t>
  </si>
  <si>
    <t>SKU00154</t>
  </si>
  <si>
    <t>大家 或者</t>
  </si>
  <si>
    <t>聯燁鋼鐵</t>
  </si>
  <si>
    <t>SKU00155</t>
  </si>
  <si>
    <t>程序 汽車</t>
  </si>
  <si>
    <t>碁宏股份有限公司</t>
  </si>
  <si>
    <t>SKU00156</t>
  </si>
  <si>
    <t>點擊 研究</t>
  </si>
  <si>
    <t>SKU00157</t>
  </si>
  <si>
    <t>還是 根據</t>
  </si>
  <si>
    <t>SKU00158</t>
  </si>
  <si>
    <t>以上 最新</t>
  </si>
  <si>
    <t>SKU00159</t>
  </si>
  <si>
    <t>過程 歷史</t>
  </si>
  <si>
    <t>雄遠建設事業有限公司</t>
  </si>
  <si>
    <t>SKU00160</t>
  </si>
  <si>
    <t>來自 本站</t>
  </si>
  <si>
    <t>神漢名店百貨股份有限公司</t>
  </si>
  <si>
    <t>SKU00161</t>
  </si>
  <si>
    <t>介紹 服務</t>
  </si>
  <si>
    <t>台北邦富商業銀行資訊有限公司</t>
  </si>
  <si>
    <t>SKU00162</t>
  </si>
  <si>
    <t>工作 不是</t>
  </si>
  <si>
    <t>全味食品工業有限公司</t>
  </si>
  <si>
    <t>SKU00163</t>
  </si>
  <si>
    <t>人員 美國</t>
  </si>
  <si>
    <t>興復航空運輸</t>
  </si>
  <si>
    <t>SKU00164</t>
  </si>
  <si>
    <t>發表 雖然</t>
  </si>
  <si>
    <t>隆豐大飯店（北台君悅）股份有限公司</t>
  </si>
  <si>
    <t>SKU00165</t>
  </si>
  <si>
    <t>聯系 知道</t>
  </si>
  <si>
    <t>發聯科技有限公司</t>
  </si>
  <si>
    <t>SKU00166</t>
  </si>
  <si>
    <t>項目 網上</t>
  </si>
  <si>
    <t>家宜家居（KIEA）有限公司</t>
  </si>
  <si>
    <t>SKU00167</t>
  </si>
  <si>
    <t>公司 發現</t>
  </si>
  <si>
    <t>SKU00168</t>
  </si>
  <si>
    <t>程序 語言</t>
  </si>
  <si>
    <t>明陽海運</t>
  </si>
  <si>
    <t>SKU00169</t>
  </si>
  <si>
    <t>全部 提高</t>
  </si>
  <si>
    <t>德汎</t>
  </si>
  <si>
    <t>SKU00170</t>
  </si>
  <si>
    <t>社區 不會</t>
  </si>
  <si>
    <t>SKU00171</t>
  </si>
  <si>
    <t>城市 包括</t>
  </si>
  <si>
    <t>台灣軟微股份有限公司</t>
  </si>
  <si>
    <t>SKU00172</t>
  </si>
  <si>
    <t>技術 沒有</t>
  </si>
  <si>
    <t>古太可口可樂資訊有限公司</t>
  </si>
  <si>
    <t>SKU00173</t>
  </si>
  <si>
    <t>組織 一直</t>
  </si>
  <si>
    <t>一統超商資訊有限公司</t>
  </si>
  <si>
    <t>SKU00174</t>
  </si>
  <si>
    <t>可以 威望</t>
  </si>
  <si>
    <t>台北登來喜大飯店資訊有限公司</t>
  </si>
  <si>
    <t>SKU00175</t>
  </si>
  <si>
    <t>非常 登錄</t>
  </si>
  <si>
    <t>中台信託商業銀行</t>
  </si>
  <si>
    <t>SKU00176</t>
  </si>
  <si>
    <t>他們 幫助</t>
  </si>
  <si>
    <t>星燦國際旅行社</t>
  </si>
  <si>
    <t>SKU00177</t>
  </si>
  <si>
    <t>文章 覺得</t>
  </si>
  <si>
    <t>塑台石化資訊有限公司</t>
  </si>
  <si>
    <t>SKU00178</t>
  </si>
  <si>
    <t>留言 怎麼</t>
  </si>
  <si>
    <t>共公電視</t>
  </si>
  <si>
    <t>SKU00179</t>
  </si>
  <si>
    <t>一般 相關</t>
  </si>
  <si>
    <t>台灣五星電子</t>
  </si>
  <si>
    <t>SKU00180</t>
  </si>
  <si>
    <t>生產 我的</t>
  </si>
  <si>
    <t>SKU00181</t>
  </si>
  <si>
    <t>我的 國際</t>
  </si>
  <si>
    <t>輝燁企業資訊有限公司</t>
  </si>
  <si>
    <t>SKU00182</t>
  </si>
  <si>
    <t>比較 支持</t>
  </si>
  <si>
    <t>SKU00183</t>
  </si>
  <si>
    <t>上海 客戶</t>
  </si>
  <si>
    <t>發聯科技股份有限公司</t>
  </si>
  <si>
    <t>SKU00184</t>
  </si>
  <si>
    <t>而且 增加</t>
  </si>
  <si>
    <t>AYHOO!摩奇資訊有限公司</t>
  </si>
  <si>
    <t>SKU00185</t>
  </si>
  <si>
    <t>開發 很多</t>
  </si>
  <si>
    <t>隆豐大飯店（北台君悅）資訊有限公司</t>
  </si>
  <si>
    <t>SKU00186</t>
  </si>
  <si>
    <t>地方 工作</t>
  </si>
  <si>
    <t>達台電子資訊有限公司</t>
  </si>
  <si>
    <t>SKU00187</t>
  </si>
  <si>
    <t>提高 作品</t>
  </si>
  <si>
    <t>SKU00188</t>
  </si>
  <si>
    <t>成為 認為</t>
  </si>
  <si>
    <t>賓國大飯店有限公司</t>
  </si>
  <si>
    <t>SKU00189</t>
  </si>
  <si>
    <t>電話 完成</t>
  </si>
  <si>
    <t>台灣來自水</t>
  </si>
  <si>
    <t>SKU00190</t>
  </si>
  <si>
    <t>聯系 包括</t>
  </si>
  <si>
    <t>瑞輝大藥廠有限公司</t>
  </si>
  <si>
    <t>SKU00191</t>
  </si>
  <si>
    <t>名稱 文件</t>
  </si>
  <si>
    <t>石金堂</t>
  </si>
  <si>
    <t>SKU00192</t>
  </si>
  <si>
    <t>文章 大學</t>
  </si>
  <si>
    <t>輝燁企業</t>
  </si>
  <si>
    <t>SKU00193</t>
  </si>
  <si>
    <t>朋友 准備</t>
  </si>
  <si>
    <t>SKU00194</t>
  </si>
  <si>
    <t>相關 等級</t>
  </si>
  <si>
    <t>愛味之有限公司</t>
  </si>
  <si>
    <t>SKU00195</t>
  </si>
  <si>
    <t>標准 在線</t>
  </si>
  <si>
    <t>興復航空運輸股份有限公司</t>
  </si>
  <si>
    <t>SKU00196</t>
  </si>
  <si>
    <t>美國 之間</t>
  </si>
  <si>
    <t>全味食品工業</t>
  </si>
  <si>
    <t>SKU00197</t>
  </si>
  <si>
    <t>國家 注意</t>
  </si>
  <si>
    <t>SKU00198</t>
  </si>
  <si>
    <t>而且 部門</t>
  </si>
  <si>
    <t>SKU00199</t>
  </si>
  <si>
    <t>自己 社區</t>
  </si>
  <si>
    <t>資華粧業（生資堂）股份有限公司</t>
  </si>
  <si>
    <t>SKU00200</t>
  </si>
  <si>
    <t>閱讀 當然</t>
  </si>
  <si>
    <t>遊戲葡萄數位科技有限公司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</si>
</sst>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4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2" applyFill="1" applyAlignment="1">
      <alignment horizontal="center"/>
    </xf>
    <xf xfId="0" numFmtId="3" applyNumberFormat="1" borderId="1" applyBorder="1" fontId="2" applyFont="1" fillId="2" applyFill="1" applyAlignment="1">
      <alignment horizontal="center"/>
    </xf>
    <xf xfId="0" numFmtId="164" applyNumberFormat="1" borderId="1" applyBorder="1" fontId="2" applyFont="1" fillId="2" applyFill="1" applyAlignment="1">
      <alignment horizontal="center"/>
    </xf>
    <xf xfId="0" numFmtId="3" applyNumberFormat="1" borderId="2" applyBorder="1" fontId="3" applyFont="1" fillId="0" applyAlignment="1">
      <alignment horizontal="right"/>
    </xf>
    <xf xfId="0" numFmtId="16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1"/>
  <sheetViews>
    <sheetView workbookViewId="0" tabSelected="1"/>
  </sheetViews>
  <sheetFormatPr defaultRowHeight="15" x14ac:dyDescent="0.25"/>
  <cols>
    <col min="1" max="1" style="4" width="15.005" customWidth="1" bestFit="1"/>
    <col min="2" max="2" style="4" width="15.005" customWidth="1" bestFit="1"/>
    <col min="3" max="3" style="4" width="15.005" customWidth="1" bestFit="1"/>
    <col min="4" max="4" style="10" width="15.005" customWidth="1" bestFit="1"/>
    <col min="5" max="5" style="10" width="15.005" customWidth="1" bestFit="1"/>
    <col min="6" max="6" style="10" width="15.005" customWidth="1" bestFit="1"/>
    <col min="7" max="7" style="10" width="15.005" customWidth="1" bestFit="1"/>
    <col min="8" max="8" style="4" width="15.005" customWidth="1" bestFit="1"/>
    <col min="9" max="9" style="4" width="15.005" customWidth="1" bestFit="1"/>
    <col min="10" max="10" style="11" width="15.005" customWidth="1" bestFit="1"/>
  </cols>
  <sheetData>
    <row x14ac:dyDescent="0.25" r="1" customHeight="1" ht="21">
      <c r="A1" s="5" t="s">
        <v>14</v>
      </c>
      <c r="B1" s="5" t="s">
        <v>15</v>
      </c>
      <c r="C1" s="5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5" t="s">
        <v>21</v>
      </c>
      <c r="I1" s="5" t="s">
        <v>22</v>
      </c>
      <c r="J1" s="7" t="s">
        <v>23</v>
      </c>
    </row>
    <row x14ac:dyDescent="0.25" r="2" customHeight="1" ht="20.25">
      <c r="A2" s="2" t="s">
        <v>24</v>
      </c>
      <c r="B2" s="2" t="s">
        <v>25</v>
      </c>
      <c r="C2" s="2" t="s">
        <v>26</v>
      </c>
      <c r="D2" s="8">
        <v>143</v>
      </c>
      <c r="E2" s="8">
        <v>23</v>
      </c>
      <c r="F2" s="8">
        <v>339</v>
      </c>
      <c r="G2" s="8">
        <v>590</v>
      </c>
      <c r="H2" s="2" t="s">
        <v>27</v>
      </c>
      <c r="I2" s="2" t="s">
        <v>28</v>
      </c>
      <c r="J2" s="9">
        <v>25569.333865752316</v>
      </c>
    </row>
    <row x14ac:dyDescent="0.25" r="3" customHeight="1" ht="20.25">
      <c r="A3" s="2" t="s">
        <v>29</v>
      </c>
      <c r="B3" s="2" t="s">
        <v>30</v>
      </c>
      <c r="C3" s="2" t="s">
        <v>31</v>
      </c>
      <c r="D3" s="8">
        <v>354</v>
      </c>
      <c r="E3" s="8">
        <v>24</v>
      </c>
      <c r="F3" s="8">
        <v>536</v>
      </c>
      <c r="G3" s="8">
        <v>555</v>
      </c>
      <c r="H3" s="2" t="s">
        <v>32</v>
      </c>
      <c r="I3" s="2" t="s">
        <v>33</v>
      </c>
      <c r="J3" s="9">
        <v>25569.333865752316</v>
      </c>
    </row>
    <row x14ac:dyDescent="0.25" r="4" customHeight="1" ht="20.25">
      <c r="A4" s="2" t="s">
        <v>34</v>
      </c>
      <c r="B4" s="2" t="s">
        <v>35</v>
      </c>
      <c r="C4" s="2" t="s">
        <v>26</v>
      </c>
      <c r="D4" s="8">
        <v>170</v>
      </c>
      <c r="E4" s="8">
        <v>88</v>
      </c>
      <c r="F4" s="8">
        <v>500</v>
      </c>
      <c r="G4" s="8">
        <v>411</v>
      </c>
      <c r="H4" s="2" t="s">
        <v>36</v>
      </c>
      <c r="I4" s="2" t="s">
        <v>37</v>
      </c>
      <c r="J4" s="9">
        <v>25569.333865752316</v>
      </c>
    </row>
    <row x14ac:dyDescent="0.25" r="5" customHeight="1" ht="20.25">
      <c r="A5" s="2" t="s">
        <v>38</v>
      </c>
      <c r="B5" s="2" t="s">
        <v>39</v>
      </c>
      <c r="C5" s="2" t="s">
        <v>40</v>
      </c>
      <c r="D5" s="8">
        <v>416</v>
      </c>
      <c r="E5" s="8">
        <v>37</v>
      </c>
      <c r="F5" s="8">
        <v>208</v>
      </c>
      <c r="G5" s="8">
        <v>1647</v>
      </c>
      <c r="H5" s="2" t="s">
        <v>36</v>
      </c>
      <c r="I5" s="2" t="s">
        <v>41</v>
      </c>
      <c r="J5" s="9">
        <v>25569.333865752316</v>
      </c>
    </row>
    <row x14ac:dyDescent="0.25" r="6" customHeight="1" ht="20.25">
      <c r="A6" s="2" t="s">
        <v>42</v>
      </c>
      <c r="B6" s="2" t="s">
        <v>43</v>
      </c>
      <c r="C6" s="2" t="s">
        <v>44</v>
      </c>
      <c r="D6" s="8">
        <v>380</v>
      </c>
      <c r="E6" s="8">
        <v>97</v>
      </c>
      <c r="F6" s="8">
        <v>342</v>
      </c>
      <c r="G6" s="8">
        <v>439</v>
      </c>
      <c r="H6" s="2" t="s">
        <v>32</v>
      </c>
      <c r="I6" s="2" t="s">
        <v>45</v>
      </c>
      <c r="J6" s="9">
        <v>25569.333865752316</v>
      </c>
    </row>
    <row x14ac:dyDescent="0.25" r="7" customHeight="1" ht="20.25">
      <c r="A7" s="2" t="s">
        <v>46</v>
      </c>
      <c r="B7" s="2" t="s">
        <v>47</v>
      </c>
      <c r="C7" s="2" t="s">
        <v>44</v>
      </c>
      <c r="D7" s="8">
        <v>334</v>
      </c>
      <c r="E7" s="8">
        <v>23</v>
      </c>
      <c r="F7" s="8">
        <v>281</v>
      </c>
      <c r="G7" s="8">
        <v>803</v>
      </c>
      <c r="H7" s="2" t="s">
        <v>36</v>
      </c>
      <c r="I7" s="2" t="s">
        <v>48</v>
      </c>
      <c r="J7" s="9">
        <v>25569.333865752316</v>
      </c>
    </row>
    <row x14ac:dyDescent="0.25" r="8" customHeight="1" ht="20.25">
      <c r="A8" s="2" t="s">
        <v>49</v>
      </c>
      <c r="B8" s="2" t="s">
        <v>50</v>
      </c>
      <c r="C8" s="2" t="s">
        <v>40</v>
      </c>
      <c r="D8" s="8">
        <v>171</v>
      </c>
      <c r="E8" s="8">
        <v>99</v>
      </c>
      <c r="F8" s="8">
        <v>274</v>
      </c>
      <c r="G8" s="8">
        <v>1343</v>
      </c>
      <c r="H8" s="2" t="s">
        <v>27</v>
      </c>
      <c r="I8" s="2" t="s">
        <v>51</v>
      </c>
      <c r="J8" s="9">
        <v>25569.333865752316</v>
      </c>
    </row>
    <row x14ac:dyDescent="0.25" r="9" customHeight="1" ht="20.25">
      <c r="A9" s="2" t="s">
        <v>52</v>
      </c>
      <c r="B9" s="2" t="s">
        <v>53</v>
      </c>
      <c r="C9" s="2" t="s">
        <v>54</v>
      </c>
      <c r="D9" s="8">
        <v>113</v>
      </c>
      <c r="E9" s="8">
        <v>81</v>
      </c>
      <c r="F9" s="8">
        <v>561</v>
      </c>
      <c r="G9" s="8">
        <v>369</v>
      </c>
      <c r="H9" s="2" t="s">
        <v>32</v>
      </c>
      <c r="I9" s="2" t="s">
        <v>55</v>
      </c>
      <c r="J9" s="9">
        <v>25569.333865752316</v>
      </c>
    </row>
    <row x14ac:dyDescent="0.25" r="10" customHeight="1" ht="20.25">
      <c r="A10" s="2" t="s">
        <v>56</v>
      </c>
      <c r="B10" s="2" t="s">
        <v>57</v>
      </c>
      <c r="C10" s="2" t="s">
        <v>44</v>
      </c>
      <c r="D10" s="8">
        <v>361</v>
      </c>
      <c r="E10" s="8">
        <v>77</v>
      </c>
      <c r="F10" s="8">
        <v>454</v>
      </c>
      <c r="G10" s="8">
        <v>1605</v>
      </c>
      <c r="H10" s="2" t="s">
        <v>32</v>
      </c>
      <c r="I10" s="2" t="s">
        <v>58</v>
      </c>
      <c r="J10" s="9">
        <v>25569.333865752316</v>
      </c>
    </row>
    <row x14ac:dyDescent="0.25" r="11" customHeight="1" ht="20.25">
      <c r="A11" s="2" t="s">
        <v>59</v>
      </c>
      <c r="B11" s="2" t="s">
        <v>60</v>
      </c>
      <c r="C11" s="2" t="s">
        <v>40</v>
      </c>
      <c r="D11" s="8">
        <v>312</v>
      </c>
      <c r="E11" s="8">
        <v>96</v>
      </c>
      <c r="F11" s="8">
        <v>395</v>
      </c>
      <c r="G11" s="8">
        <v>936</v>
      </c>
      <c r="H11" s="2" t="s">
        <v>32</v>
      </c>
      <c r="I11" s="2" t="s">
        <v>61</v>
      </c>
      <c r="J11" s="9">
        <v>25569.333865752316</v>
      </c>
    </row>
    <row x14ac:dyDescent="0.25" r="12" customHeight="1" ht="20.25">
      <c r="A12" s="2" t="s">
        <v>62</v>
      </c>
      <c r="B12" s="2" t="s">
        <v>63</v>
      </c>
      <c r="C12" s="2" t="s">
        <v>40</v>
      </c>
      <c r="D12" s="8">
        <v>91</v>
      </c>
      <c r="E12" s="8">
        <v>71</v>
      </c>
      <c r="F12" s="8">
        <v>492</v>
      </c>
      <c r="G12" s="8">
        <v>569</v>
      </c>
      <c r="H12" s="2" t="s">
        <v>32</v>
      </c>
      <c r="I12" s="2" t="s">
        <v>64</v>
      </c>
      <c r="J12" s="9">
        <v>25569.333865752316</v>
      </c>
    </row>
    <row x14ac:dyDescent="0.25" r="13" customHeight="1" ht="20.25">
      <c r="A13" s="2" t="s">
        <v>65</v>
      </c>
      <c r="B13" s="2" t="s">
        <v>66</v>
      </c>
      <c r="C13" s="2" t="s">
        <v>31</v>
      </c>
      <c r="D13" s="8">
        <v>388</v>
      </c>
      <c r="E13" s="8">
        <v>88</v>
      </c>
      <c r="F13" s="8">
        <v>244</v>
      </c>
      <c r="G13" s="8">
        <v>698</v>
      </c>
      <c r="H13" s="2" t="s">
        <v>32</v>
      </c>
      <c r="I13" s="2" t="s">
        <v>67</v>
      </c>
      <c r="J13" s="9">
        <v>25569.333865752316</v>
      </c>
    </row>
    <row x14ac:dyDescent="0.25" r="14" customHeight="1" ht="20.25">
      <c r="A14" s="2" t="s">
        <v>68</v>
      </c>
      <c r="B14" s="2" t="s">
        <v>69</v>
      </c>
      <c r="C14" s="2" t="s">
        <v>40</v>
      </c>
      <c r="D14" s="8">
        <v>125</v>
      </c>
      <c r="E14" s="8">
        <v>86</v>
      </c>
      <c r="F14" s="8">
        <v>229</v>
      </c>
      <c r="G14" s="8">
        <v>163</v>
      </c>
      <c r="H14" s="2" t="s">
        <v>36</v>
      </c>
      <c r="I14" s="2" t="s">
        <v>70</v>
      </c>
      <c r="J14" s="9">
        <v>25569.333865752316</v>
      </c>
    </row>
    <row x14ac:dyDescent="0.25" r="15" customHeight="1" ht="20.25">
      <c r="A15" s="2" t="s">
        <v>71</v>
      </c>
      <c r="B15" s="2" t="s">
        <v>72</v>
      </c>
      <c r="C15" s="2" t="s">
        <v>54</v>
      </c>
      <c r="D15" s="8">
        <v>473</v>
      </c>
      <c r="E15" s="8">
        <v>76</v>
      </c>
      <c r="F15" s="8">
        <v>452</v>
      </c>
      <c r="G15" s="8">
        <v>1871</v>
      </c>
      <c r="H15" s="2" t="s">
        <v>36</v>
      </c>
      <c r="I15" s="2" t="s">
        <v>73</v>
      </c>
      <c r="J15" s="9">
        <v>25569.333865752316</v>
      </c>
    </row>
    <row x14ac:dyDescent="0.25" r="16" customHeight="1" ht="20.25">
      <c r="A16" s="2" t="s">
        <v>74</v>
      </c>
      <c r="B16" s="2" t="s">
        <v>75</v>
      </c>
      <c r="C16" s="2" t="s">
        <v>26</v>
      </c>
      <c r="D16" s="8">
        <v>385</v>
      </c>
      <c r="E16" s="8">
        <v>81</v>
      </c>
      <c r="F16" s="8">
        <v>202</v>
      </c>
      <c r="G16" s="8">
        <v>479</v>
      </c>
      <c r="H16" s="2" t="s">
        <v>36</v>
      </c>
      <c r="I16" s="2" t="s">
        <v>76</v>
      </c>
      <c r="J16" s="9">
        <v>25569.333865752316</v>
      </c>
    </row>
    <row x14ac:dyDescent="0.25" r="17" customHeight="1" ht="20.25">
      <c r="A17" s="2" t="s">
        <v>77</v>
      </c>
      <c r="B17" s="2" t="s">
        <v>78</v>
      </c>
      <c r="C17" s="2" t="s">
        <v>54</v>
      </c>
      <c r="D17" s="8">
        <v>140</v>
      </c>
      <c r="E17" s="8">
        <v>63</v>
      </c>
      <c r="F17" s="8">
        <v>362</v>
      </c>
      <c r="G17" s="8">
        <v>360</v>
      </c>
      <c r="H17" s="2" t="s">
        <v>27</v>
      </c>
      <c r="I17" s="2" t="s">
        <v>79</v>
      </c>
      <c r="J17" s="9">
        <v>25569.333865752316</v>
      </c>
    </row>
    <row x14ac:dyDescent="0.25" r="18" customHeight="1" ht="20.25">
      <c r="A18" s="2" t="s">
        <v>80</v>
      </c>
      <c r="B18" s="2" t="s">
        <v>81</v>
      </c>
      <c r="C18" s="2" t="s">
        <v>40</v>
      </c>
      <c r="D18" s="8">
        <v>129</v>
      </c>
      <c r="E18" s="8">
        <v>80</v>
      </c>
      <c r="F18" s="8">
        <v>445</v>
      </c>
      <c r="G18" s="8">
        <v>858</v>
      </c>
      <c r="H18" s="2" t="s">
        <v>27</v>
      </c>
      <c r="I18" s="2" t="s">
        <v>82</v>
      </c>
      <c r="J18" s="9">
        <v>25569.333865752316</v>
      </c>
    </row>
    <row x14ac:dyDescent="0.25" r="19" customHeight="1" ht="20.25">
      <c r="A19" s="2" t="s">
        <v>83</v>
      </c>
      <c r="B19" s="2" t="s">
        <v>84</v>
      </c>
      <c r="C19" s="2" t="s">
        <v>31</v>
      </c>
      <c r="D19" s="8">
        <v>46</v>
      </c>
      <c r="E19" s="8">
        <v>21</v>
      </c>
      <c r="F19" s="8">
        <v>551</v>
      </c>
      <c r="G19" s="8">
        <v>1027</v>
      </c>
      <c r="H19" s="2" t="s">
        <v>36</v>
      </c>
      <c r="I19" s="2" t="s">
        <v>85</v>
      </c>
      <c r="J19" s="9">
        <v>25569.333865752316</v>
      </c>
    </row>
    <row x14ac:dyDescent="0.25" r="20" customHeight="1" ht="20.25">
      <c r="A20" s="2" t="s">
        <v>86</v>
      </c>
      <c r="B20" s="2" t="s">
        <v>87</v>
      </c>
      <c r="C20" s="2" t="s">
        <v>44</v>
      </c>
      <c r="D20" s="8">
        <v>57</v>
      </c>
      <c r="E20" s="8">
        <v>63</v>
      </c>
      <c r="F20" s="8">
        <v>529</v>
      </c>
      <c r="G20" s="8">
        <v>817</v>
      </c>
      <c r="H20" s="2" t="s">
        <v>27</v>
      </c>
      <c r="I20" s="2" t="s">
        <v>88</v>
      </c>
      <c r="J20" s="9">
        <v>25569.333865752316</v>
      </c>
    </row>
    <row x14ac:dyDescent="0.25" r="21" customHeight="1" ht="20.25">
      <c r="A21" s="2" t="s">
        <v>89</v>
      </c>
      <c r="B21" s="2" t="s">
        <v>90</v>
      </c>
      <c r="C21" s="2" t="s">
        <v>40</v>
      </c>
      <c r="D21" s="8">
        <v>161</v>
      </c>
      <c r="E21" s="8">
        <v>49</v>
      </c>
      <c r="F21" s="8">
        <v>270</v>
      </c>
      <c r="G21" s="8">
        <v>1840</v>
      </c>
      <c r="H21" s="2" t="s">
        <v>32</v>
      </c>
      <c r="I21" s="2" t="s">
        <v>91</v>
      </c>
      <c r="J21" s="9">
        <v>25569.333865752316</v>
      </c>
    </row>
    <row x14ac:dyDescent="0.25" r="22" customHeight="1" ht="20.25">
      <c r="A22" s="2" t="s">
        <v>92</v>
      </c>
      <c r="B22" s="2" t="s">
        <v>93</v>
      </c>
      <c r="C22" s="2" t="s">
        <v>54</v>
      </c>
      <c r="D22" s="8">
        <v>396</v>
      </c>
      <c r="E22" s="8">
        <v>22</v>
      </c>
      <c r="F22" s="8">
        <v>225</v>
      </c>
      <c r="G22" s="8">
        <v>362</v>
      </c>
      <c r="H22" s="2" t="s">
        <v>32</v>
      </c>
      <c r="I22" s="2" t="s">
        <v>94</v>
      </c>
      <c r="J22" s="9">
        <v>25569.333865752316</v>
      </c>
    </row>
    <row x14ac:dyDescent="0.25" r="23" customHeight="1" ht="20.25">
      <c r="A23" s="2" t="s">
        <v>95</v>
      </c>
      <c r="B23" s="2" t="s">
        <v>96</v>
      </c>
      <c r="C23" s="2" t="s">
        <v>44</v>
      </c>
      <c r="D23" s="8">
        <v>197</v>
      </c>
      <c r="E23" s="8">
        <v>62</v>
      </c>
      <c r="F23" s="8">
        <v>387</v>
      </c>
      <c r="G23" s="8">
        <v>747</v>
      </c>
      <c r="H23" s="2" t="s">
        <v>36</v>
      </c>
      <c r="I23" s="2" t="s">
        <v>76</v>
      </c>
      <c r="J23" s="9">
        <v>25569.333865752316</v>
      </c>
    </row>
    <row x14ac:dyDescent="0.25" r="24" customHeight="1" ht="20.25">
      <c r="A24" s="2" t="s">
        <v>97</v>
      </c>
      <c r="B24" s="2" t="s">
        <v>98</v>
      </c>
      <c r="C24" s="2" t="s">
        <v>26</v>
      </c>
      <c r="D24" s="8">
        <v>203</v>
      </c>
      <c r="E24" s="8">
        <v>85</v>
      </c>
      <c r="F24" s="8">
        <v>210</v>
      </c>
      <c r="G24" s="8">
        <v>1944</v>
      </c>
      <c r="H24" s="2" t="s">
        <v>32</v>
      </c>
      <c r="I24" s="2" t="s">
        <v>79</v>
      </c>
      <c r="J24" s="9">
        <v>25569.333865752316</v>
      </c>
    </row>
    <row x14ac:dyDescent="0.25" r="25" customHeight="1" ht="20.25">
      <c r="A25" s="2" t="s">
        <v>99</v>
      </c>
      <c r="B25" s="2" t="s">
        <v>100</v>
      </c>
      <c r="C25" s="2" t="s">
        <v>26</v>
      </c>
      <c r="D25" s="8">
        <v>145</v>
      </c>
      <c r="E25" s="8">
        <v>71</v>
      </c>
      <c r="F25" s="8">
        <v>245</v>
      </c>
      <c r="G25" s="8">
        <v>605</v>
      </c>
      <c r="H25" s="2" t="s">
        <v>32</v>
      </c>
      <c r="I25" s="2" t="s">
        <v>101</v>
      </c>
      <c r="J25" s="9">
        <v>25569.333865752316</v>
      </c>
    </row>
    <row x14ac:dyDescent="0.25" r="26" customHeight="1" ht="20.25">
      <c r="A26" s="2" t="s">
        <v>102</v>
      </c>
      <c r="B26" s="2" t="s">
        <v>103</v>
      </c>
      <c r="C26" s="2" t="s">
        <v>44</v>
      </c>
      <c r="D26" s="8">
        <v>186</v>
      </c>
      <c r="E26" s="8">
        <v>49</v>
      </c>
      <c r="F26" s="8">
        <v>463</v>
      </c>
      <c r="G26" s="8">
        <v>1683</v>
      </c>
      <c r="H26" s="2" t="s">
        <v>36</v>
      </c>
      <c r="I26" s="2" t="s">
        <v>104</v>
      </c>
      <c r="J26" s="9">
        <v>25569.333865752316</v>
      </c>
    </row>
    <row x14ac:dyDescent="0.25" r="27" customHeight="1" ht="20.25">
      <c r="A27" s="2" t="s">
        <v>105</v>
      </c>
      <c r="B27" s="2" t="s">
        <v>106</v>
      </c>
      <c r="C27" s="2" t="s">
        <v>40</v>
      </c>
      <c r="D27" s="8">
        <v>114</v>
      </c>
      <c r="E27" s="8">
        <v>39</v>
      </c>
      <c r="F27" s="8">
        <v>480</v>
      </c>
      <c r="G27" s="8">
        <v>1348</v>
      </c>
      <c r="H27" s="2" t="s">
        <v>36</v>
      </c>
      <c r="I27" s="2" t="s">
        <v>107</v>
      </c>
      <c r="J27" s="9">
        <v>25569.333865752316</v>
      </c>
    </row>
    <row x14ac:dyDescent="0.25" r="28" customHeight="1" ht="20.25">
      <c r="A28" s="2" t="s">
        <v>108</v>
      </c>
      <c r="B28" s="2" t="s">
        <v>109</v>
      </c>
      <c r="C28" s="2" t="s">
        <v>54</v>
      </c>
      <c r="D28" s="8">
        <v>206</v>
      </c>
      <c r="E28" s="8">
        <v>91</v>
      </c>
      <c r="F28" s="8">
        <v>410</v>
      </c>
      <c r="G28" s="8">
        <v>776</v>
      </c>
      <c r="H28" s="2" t="s">
        <v>27</v>
      </c>
      <c r="I28" s="2" t="s">
        <v>110</v>
      </c>
      <c r="J28" s="9">
        <v>25569.333865752316</v>
      </c>
    </row>
    <row x14ac:dyDescent="0.25" r="29" customHeight="1" ht="20.25">
      <c r="A29" s="2" t="s">
        <v>111</v>
      </c>
      <c r="B29" s="2" t="s">
        <v>112</v>
      </c>
      <c r="C29" s="2" t="s">
        <v>26</v>
      </c>
      <c r="D29" s="8">
        <v>26</v>
      </c>
      <c r="E29" s="8">
        <v>81</v>
      </c>
      <c r="F29" s="8">
        <v>282</v>
      </c>
      <c r="G29" s="8">
        <v>1969</v>
      </c>
      <c r="H29" s="2" t="s">
        <v>32</v>
      </c>
      <c r="I29" s="2" t="s">
        <v>113</v>
      </c>
      <c r="J29" s="9">
        <v>25569.333865752316</v>
      </c>
    </row>
    <row x14ac:dyDescent="0.25" r="30" customHeight="1" ht="20.25">
      <c r="A30" s="2" t="s">
        <v>114</v>
      </c>
      <c r="B30" s="2" t="s">
        <v>115</v>
      </c>
      <c r="C30" s="2" t="s">
        <v>26</v>
      </c>
      <c r="D30" s="8">
        <v>412</v>
      </c>
      <c r="E30" s="8">
        <v>58</v>
      </c>
      <c r="F30" s="8">
        <v>387</v>
      </c>
      <c r="G30" s="8">
        <v>218</v>
      </c>
      <c r="H30" s="2" t="s">
        <v>36</v>
      </c>
      <c r="I30" s="2" t="s">
        <v>116</v>
      </c>
      <c r="J30" s="9">
        <v>25569.333865752316</v>
      </c>
    </row>
    <row x14ac:dyDescent="0.25" r="31" customHeight="1" ht="20.25">
      <c r="A31" s="2" t="s">
        <v>117</v>
      </c>
      <c r="B31" s="2" t="s">
        <v>118</v>
      </c>
      <c r="C31" s="2" t="s">
        <v>54</v>
      </c>
      <c r="D31" s="8">
        <v>228</v>
      </c>
      <c r="E31" s="8">
        <v>35</v>
      </c>
      <c r="F31" s="8">
        <v>478</v>
      </c>
      <c r="G31" s="8">
        <v>1720</v>
      </c>
      <c r="H31" s="2" t="s">
        <v>32</v>
      </c>
      <c r="I31" s="2" t="s">
        <v>119</v>
      </c>
      <c r="J31" s="9">
        <v>25569.333865752316</v>
      </c>
    </row>
    <row x14ac:dyDescent="0.25" r="32" customHeight="1" ht="20.25">
      <c r="A32" s="2" t="s">
        <v>120</v>
      </c>
      <c r="B32" s="2" t="s">
        <v>121</v>
      </c>
      <c r="C32" s="2" t="s">
        <v>31</v>
      </c>
      <c r="D32" s="8">
        <v>71</v>
      </c>
      <c r="E32" s="8">
        <v>24</v>
      </c>
      <c r="F32" s="8">
        <v>305</v>
      </c>
      <c r="G32" s="8">
        <v>781</v>
      </c>
      <c r="H32" s="2" t="s">
        <v>36</v>
      </c>
      <c r="I32" s="2" t="s">
        <v>79</v>
      </c>
      <c r="J32" s="9">
        <v>25569.333865752316</v>
      </c>
    </row>
    <row x14ac:dyDescent="0.25" r="33" customHeight="1" ht="20.25">
      <c r="A33" s="2" t="s">
        <v>122</v>
      </c>
      <c r="B33" s="2" t="s">
        <v>123</v>
      </c>
      <c r="C33" s="2" t="s">
        <v>44</v>
      </c>
      <c r="D33" s="8">
        <v>176</v>
      </c>
      <c r="E33" s="8">
        <v>45</v>
      </c>
      <c r="F33" s="8">
        <v>332</v>
      </c>
      <c r="G33" s="8">
        <v>583</v>
      </c>
      <c r="H33" s="2" t="s">
        <v>27</v>
      </c>
      <c r="I33" s="2" t="s">
        <v>124</v>
      </c>
      <c r="J33" s="9">
        <v>25569.333865752316</v>
      </c>
    </row>
    <row x14ac:dyDescent="0.25" r="34" customHeight="1" ht="19.5">
      <c r="A34" s="2" t="s">
        <v>125</v>
      </c>
      <c r="B34" s="2" t="s">
        <v>126</v>
      </c>
      <c r="C34" s="2" t="s">
        <v>44</v>
      </c>
      <c r="D34" s="8">
        <v>411</v>
      </c>
      <c r="E34" s="8">
        <v>52</v>
      </c>
      <c r="F34" s="8">
        <v>306</v>
      </c>
      <c r="G34" s="8">
        <v>840</v>
      </c>
      <c r="H34" s="2" t="s">
        <v>36</v>
      </c>
      <c r="I34" s="2" t="s">
        <v>37</v>
      </c>
      <c r="J34" s="9">
        <v>25569.333865752316</v>
      </c>
    </row>
    <row x14ac:dyDescent="0.25" r="35" customHeight="1" ht="19.5">
      <c r="A35" s="2" t="s">
        <v>127</v>
      </c>
      <c r="B35" s="2" t="s">
        <v>128</v>
      </c>
      <c r="C35" s="2" t="s">
        <v>54</v>
      </c>
      <c r="D35" s="8">
        <v>17</v>
      </c>
      <c r="E35" s="8">
        <v>49</v>
      </c>
      <c r="F35" s="8">
        <v>481</v>
      </c>
      <c r="G35" s="8">
        <v>1217</v>
      </c>
      <c r="H35" s="2" t="s">
        <v>36</v>
      </c>
      <c r="I35" s="2" t="s">
        <v>129</v>
      </c>
      <c r="J35" s="9">
        <v>25569.333865752316</v>
      </c>
    </row>
    <row x14ac:dyDescent="0.25" r="36" customHeight="1" ht="19.5">
      <c r="A36" s="2" t="s">
        <v>130</v>
      </c>
      <c r="B36" s="2" t="s">
        <v>131</v>
      </c>
      <c r="C36" s="2" t="s">
        <v>40</v>
      </c>
      <c r="D36" s="8">
        <v>153</v>
      </c>
      <c r="E36" s="8">
        <v>67</v>
      </c>
      <c r="F36" s="8">
        <v>440</v>
      </c>
      <c r="G36" s="8">
        <v>471</v>
      </c>
      <c r="H36" s="2" t="s">
        <v>32</v>
      </c>
      <c r="I36" s="2" t="s">
        <v>132</v>
      </c>
      <c r="J36" s="9">
        <v>25569.333865752316</v>
      </c>
    </row>
    <row x14ac:dyDescent="0.25" r="37" customHeight="1" ht="19.5">
      <c r="A37" s="2" t="s">
        <v>133</v>
      </c>
      <c r="B37" s="2" t="s">
        <v>134</v>
      </c>
      <c r="C37" s="2" t="s">
        <v>40</v>
      </c>
      <c r="D37" s="8">
        <v>133</v>
      </c>
      <c r="E37" s="8">
        <v>65</v>
      </c>
      <c r="F37" s="8">
        <v>249</v>
      </c>
      <c r="G37" s="8">
        <v>727</v>
      </c>
      <c r="H37" s="2" t="s">
        <v>32</v>
      </c>
      <c r="I37" s="2" t="s">
        <v>135</v>
      </c>
      <c r="J37" s="9">
        <v>25569.333865752316</v>
      </c>
    </row>
    <row x14ac:dyDescent="0.25" r="38" customHeight="1" ht="19.5">
      <c r="A38" s="2" t="s">
        <v>136</v>
      </c>
      <c r="B38" s="2" t="s">
        <v>137</v>
      </c>
      <c r="C38" s="2" t="s">
        <v>26</v>
      </c>
      <c r="D38" s="8">
        <v>410</v>
      </c>
      <c r="E38" s="8">
        <v>60</v>
      </c>
      <c r="F38" s="8">
        <v>271</v>
      </c>
      <c r="G38" s="8">
        <v>1037</v>
      </c>
      <c r="H38" s="2" t="s">
        <v>32</v>
      </c>
      <c r="I38" s="2" t="s">
        <v>138</v>
      </c>
      <c r="J38" s="9">
        <v>25569.333865752316</v>
      </c>
    </row>
    <row x14ac:dyDescent="0.25" r="39" customHeight="1" ht="19.5">
      <c r="A39" s="2" t="s">
        <v>139</v>
      </c>
      <c r="B39" s="2" t="s">
        <v>140</v>
      </c>
      <c r="C39" s="2" t="s">
        <v>40</v>
      </c>
      <c r="D39" s="8">
        <v>246</v>
      </c>
      <c r="E39" s="8">
        <v>81</v>
      </c>
      <c r="F39" s="8">
        <v>385</v>
      </c>
      <c r="G39" s="8">
        <v>119</v>
      </c>
      <c r="H39" s="2" t="s">
        <v>32</v>
      </c>
      <c r="I39" s="2" t="s">
        <v>141</v>
      </c>
      <c r="J39" s="9">
        <v>25569.333865752316</v>
      </c>
    </row>
    <row x14ac:dyDescent="0.25" r="40" customHeight="1" ht="19.5">
      <c r="A40" s="2" t="s">
        <v>142</v>
      </c>
      <c r="B40" s="2" t="s">
        <v>143</v>
      </c>
      <c r="C40" s="2" t="s">
        <v>26</v>
      </c>
      <c r="D40" s="8">
        <v>422</v>
      </c>
      <c r="E40" s="8">
        <v>31</v>
      </c>
      <c r="F40" s="8">
        <v>298</v>
      </c>
      <c r="G40" s="8">
        <v>1983</v>
      </c>
      <c r="H40" s="2" t="s">
        <v>32</v>
      </c>
      <c r="I40" s="2" t="s">
        <v>144</v>
      </c>
      <c r="J40" s="9">
        <v>25569.333865752316</v>
      </c>
    </row>
    <row x14ac:dyDescent="0.25" r="41" customHeight="1" ht="19.5">
      <c r="A41" s="2" t="s">
        <v>145</v>
      </c>
      <c r="B41" s="2" t="s">
        <v>146</v>
      </c>
      <c r="C41" s="2" t="s">
        <v>54</v>
      </c>
      <c r="D41" s="8">
        <v>150</v>
      </c>
      <c r="E41" s="8">
        <v>67</v>
      </c>
      <c r="F41" s="8">
        <v>303</v>
      </c>
      <c r="G41" s="8">
        <v>995</v>
      </c>
      <c r="H41" s="2" t="s">
        <v>36</v>
      </c>
      <c r="I41" s="2" t="s">
        <v>147</v>
      </c>
      <c r="J41" s="9">
        <v>25569.333865752316</v>
      </c>
    </row>
    <row x14ac:dyDescent="0.25" r="42" customHeight="1" ht="19.5">
      <c r="A42" s="2" t="s">
        <v>148</v>
      </c>
      <c r="B42" s="2" t="s">
        <v>149</v>
      </c>
      <c r="C42" s="2" t="s">
        <v>44</v>
      </c>
      <c r="D42" s="8">
        <v>212</v>
      </c>
      <c r="E42" s="8">
        <v>29</v>
      </c>
      <c r="F42" s="8">
        <v>382</v>
      </c>
      <c r="G42" s="8">
        <v>300</v>
      </c>
      <c r="H42" s="2" t="s">
        <v>36</v>
      </c>
      <c r="I42" s="2" t="s">
        <v>135</v>
      </c>
      <c r="J42" s="9">
        <v>25569.333865752316</v>
      </c>
    </row>
    <row x14ac:dyDescent="0.25" r="43" customHeight="1" ht="19.5">
      <c r="A43" s="2" t="s">
        <v>150</v>
      </c>
      <c r="B43" s="2" t="s">
        <v>151</v>
      </c>
      <c r="C43" s="2" t="s">
        <v>31</v>
      </c>
      <c r="D43" s="8">
        <v>385</v>
      </c>
      <c r="E43" s="8">
        <v>44</v>
      </c>
      <c r="F43" s="8">
        <v>468</v>
      </c>
      <c r="G43" s="8">
        <v>275</v>
      </c>
      <c r="H43" s="2" t="s">
        <v>27</v>
      </c>
      <c r="I43" s="2" t="s">
        <v>152</v>
      </c>
      <c r="J43" s="9">
        <v>25569.333865752316</v>
      </c>
    </row>
    <row x14ac:dyDescent="0.25" r="44" customHeight="1" ht="19.5">
      <c r="A44" s="2" t="s">
        <v>153</v>
      </c>
      <c r="B44" s="2" t="s">
        <v>154</v>
      </c>
      <c r="C44" s="2" t="s">
        <v>26</v>
      </c>
      <c r="D44" s="8">
        <v>33</v>
      </c>
      <c r="E44" s="8">
        <v>54</v>
      </c>
      <c r="F44" s="8">
        <v>429</v>
      </c>
      <c r="G44" s="8">
        <v>180</v>
      </c>
      <c r="H44" s="2" t="s">
        <v>27</v>
      </c>
      <c r="I44" s="2" t="s">
        <v>155</v>
      </c>
      <c r="J44" s="9">
        <v>25569.333865752316</v>
      </c>
    </row>
    <row x14ac:dyDescent="0.25" r="45" customHeight="1" ht="19.5">
      <c r="A45" s="2" t="s">
        <v>156</v>
      </c>
      <c r="B45" s="2" t="s">
        <v>157</v>
      </c>
      <c r="C45" s="2" t="s">
        <v>26</v>
      </c>
      <c r="D45" s="8">
        <v>119</v>
      </c>
      <c r="E45" s="8">
        <v>78</v>
      </c>
      <c r="F45" s="8">
        <v>525</v>
      </c>
      <c r="G45" s="8">
        <v>808</v>
      </c>
      <c r="H45" s="2" t="s">
        <v>36</v>
      </c>
      <c r="I45" s="2" t="s">
        <v>158</v>
      </c>
      <c r="J45" s="9">
        <v>25569.333865752316</v>
      </c>
    </row>
    <row x14ac:dyDescent="0.25" r="46" customHeight="1" ht="19.5">
      <c r="A46" s="2" t="s">
        <v>159</v>
      </c>
      <c r="B46" s="2" t="s">
        <v>160</v>
      </c>
      <c r="C46" s="2" t="s">
        <v>54</v>
      </c>
      <c r="D46" s="8">
        <v>322</v>
      </c>
      <c r="E46" s="8">
        <v>92</v>
      </c>
      <c r="F46" s="8">
        <v>571</v>
      </c>
      <c r="G46" s="8">
        <v>1533</v>
      </c>
      <c r="H46" s="2" t="s">
        <v>36</v>
      </c>
      <c r="I46" s="2" t="s">
        <v>161</v>
      </c>
      <c r="J46" s="9">
        <v>25569.333865752316</v>
      </c>
    </row>
    <row x14ac:dyDescent="0.25" r="47" customHeight="1" ht="19.5">
      <c r="A47" s="2" t="s">
        <v>162</v>
      </c>
      <c r="B47" s="2" t="s">
        <v>163</v>
      </c>
      <c r="C47" s="2" t="s">
        <v>54</v>
      </c>
      <c r="D47" s="8">
        <v>138</v>
      </c>
      <c r="E47" s="8">
        <v>87</v>
      </c>
      <c r="F47" s="8">
        <v>328</v>
      </c>
      <c r="G47" s="8">
        <v>1164</v>
      </c>
      <c r="H47" s="2" t="s">
        <v>27</v>
      </c>
      <c r="I47" s="2" t="s">
        <v>164</v>
      </c>
      <c r="J47" s="9">
        <v>25569.333865752316</v>
      </c>
    </row>
    <row x14ac:dyDescent="0.25" r="48" customHeight="1" ht="19.5">
      <c r="A48" s="2" t="s">
        <v>165</v>
      </c>
      <c r="B48" s="2" t="s">
        <v>166</v>
      </c>
      <c r="C48" s="2" t="s">
        <v>44</v>
      </c>
      <c r="D48" s="8">
        <v>209</v>
      </c>
      <c r="E48" s="8">
        <v>31</v>
      </c>
      <c r="F48" s="8">
        <v>532</v>
      </c>
      <c r="G48" s="8">
        <v>1370</v>
      </c>
      <c r="H48" s="2" t="s">
        <v>32</v>
      </c>
      <c r="I48" s="2" t="s">
        <v>167</v>
      </c>
      <c r="J48" s="9">
        <v>25569.333865752316</v>
      </c>
    </row>
    <row x14ac:dyDescent="0.25" r="49" customHeight="1" ht="19.5">
      <c r="A49" s="2" t="s">
        <v>168</v>
      </c>
      <c r="B49" s="2" t="s">
        <v>169</v>
      </c>
      <c r="C49" s="2" t="s">
        <v>44</v>
      </c>
      <c r="D49" s="8">
        <v>172</v>
      </c>
      <c r="E49" s="8">
        <v>99</v>
      </c>
      <c r="F49" s="8">
        <v>223</v>
      </c>
      <c r="G49" s="8">
        <v>1172</v>
      </c>
      <c r="H49" s="2" t="s">
        <v>32</v>
      </c>
      <c r="I49" s="2" t="s">
        <v>170</v>
      </c>
      <c r="J49" s="9">
        <v>25569.333865752316</v>
      </c>
    </row>
    <row x14ac:dyDescent="0.25" r="50" customHeight="1" ht="19.5">
      <c r="A50" s="2" t="s">
        <v>171</v>
      </c>
      <c r="B50" s="2" t="s">
        <v>172</v>
      </c>
      <c r="C50" s="2" t="s">
        <v>31</v>
      </c>
      <c r="D50" s="8">
        <v>138</v>
      </c>
      <c r="E50" s="8">
        <v>77</v>
      </c>
      <c r="F50" s="8">
        <v>373</v>
      </c>
      <c r="G50" s="8">
        <v>78</v>
      </c>
      <c r="H50" s="2" t="s">
        <v>27</v>
      </c>
      <c r="I50" s="2" t="s">
        <v>173</v>
      </c>
      <c r="J50" s="9">
        <v>25569.333865752316</v>
      </c>
    </row>
    <row x14ac:dyDescent="0.25" r="51" customHeight="1" ht="19.5">
      <c r="A51" s="2" t="s">
        <v>174</v>
      </c>
      <c r="B51" s="2" t="s">
        <v>175</v>
      </c>
      <c r="C51" s="2" t="s">
        <v>31</v>
      </c>
      <c r="D51" s="8">
        <v>350</v>
      </c>
      <c r="E51" s="8">
        <v>61</v>
      </c>
      <c r="F51" s="8">
        <v>498</v>
      </c>
      <c r="G51" s="8">
        <v>1793</v>
      </c>
      <c r="H51" s="2" t="s">
        <v>32</v>
      </c>
      <c r="I51" s="2" t="s">
        <v>176</v>
      </c>
      <c r="J51" s="9">
        <v>25569.333865752316</v>
      </c>
    </row>
    <row x14ac:dyDescent="0.25" r="52" customHeight="1" ht="19.5">
      <c r="A52" s="2" t="s">
        <v>177</v>
      </c>
      <c r="B52" s="2" t="s">
        <v>178</v>
      </c>
      <c r="C52" s="2" t="s">
        <v>40</v>
      </c>
      <c r="D52" s="8">
        <v>191</v>
      </c>
      <c r="E52" s="8">
        <v>51</v>
      </c>
      <c r="F52" s="8">
        <v>263</v>
      </c>
      <c r="G52" s="8">
        <v>804</v>
      </c>
      <c r="H52" s="2" t="s">
        <v>32</v>
      </c>
      <c r="I52" s="2" t="s">
        <v>179</v>
      </c>
      <c r="J52" s="9">
        <v>25569.333865752316</v>
      </c>
    </row>
    <row x14ac:dyDescent="0.25" r="53" customHeight="1" ht="19.5">
      <c r="A53" s="2" t="s">
        <v>180</v>
      </c>
      <c r="B53" s="2" t="s">
        <v>181</v>
      </c>
      <c r="C53" s="2" t="s">
        <v>26</v>
      </c>
      <c r="D53" s="8">
        <v>165</v>
      </c>
      <c r="E53" s="8">
        <v>50</v>
      </c>
      <c r="F53" s="8">
        <v>570</v>
      </c>
      <c r="G53" s="8">
        <v>1305</v>
      </c>
      <c r="H53" s="2" t="s">
        <v>32</v>
      </c>
      <c r="I53" s="2" t="s">
        <v>182</v>
      </c>
      <c r="J53" s="9">
        <v>25569.333865752316</v>
      </c>
    </row>
    <row x14ac:dyDescent="0.25" r="54" customHeight="1" ht="19.5">
      <c r="A54" s="2" t="s">
        <v>183</v>
      </c>
      <c r="B54" s="2" t="s">
        <v>184</v>
      </c>
      <c r="C54" s="2" t="s">
        <v>44</v>
      </c>
      <c r="D54" s="8">
        <v>194</v>
      </c>
      <c r="E54" s="8">
        <v>97</v>
      </c>
      <c r="F54" s="8">
        <v>455</v>
      </c>
      <c r="G54" s="8">
        <v>842</v>
      </c>
      <c r="H54" s="2" t="s">
        <v>36</v>
      </c>
      <c r="I54" s="2" t="s">
        <v>45</v>
      </c>
      <c r="J54" s="9">
        <v>25569.333865752316</v>
      </c>
    </row>
    <row x14ac:dyDescent="0.25" r="55" customHeight="1" ht="19.5">
      <c r="A55" s="2" t="s">
        <v>185</v>
      </c>
      <c r="B55" s="2" t="s">
        <v>186</v>
      </c>
      <c r="C55" s="2" t="s">
        <v>44</v>
      </c>
      <c r="D55" s="8">
        <v>322</v>
      </c>
      <c r="E55" s="8">
        <v>37</v>
      </c>
      <c r="F55" s="8">
        <v>592</v>
      </c>
      <c r="G55" s="8">
        <v>855</v>
      </c>
      <c r="H55" s="2" t="s">
        <v>27</v>
      </c>
      <c r="I55" s="2" t="s">
        <v>170</v>
      </c>
      <c r="J55" s="9">
        <v>25569.333865752316</v>
      </c>
    </row>
    <row x14ac:dyDescent="0.25" r="56" customHeight="1" ht="19.5">
      <c r="A56" s="2" t="s">
        <v>187</v>
      </c>
      <c r="B56" s="2" t="s">
        <v>188</v>
      </c>
      <c r="C56" s="2" t="s">
        <v>44</v>
      </c>
      <c r="D56" s="8">
        <v>248</v>
      </c>
      <c r="E56" s="8">
        <v>84</v>
      </c>
      <c r="F56" s="8">
        <v>482</v>
      </c>
      <c r="G56" s="8">
        <v>1435</v>
      </c>
      <c r="H56" s="2" t="s">
        <v>27</v>
      </c>
      <c r="I56" s="2" t="s">
        <v>189</v>
      </c>
      <c r="J56" s="9">
        <v>25569.333865752316</v>
      </c>
    </row>
    <row x14ac:dyDescent="0.25" r="57" customHeight="1" ht="19.5">
      <c r="A57" s="2" t="s">
        <v>190</v>
      </c>
      <c r="B57" s="2" t="s">
        <v>191</v>
      </c>
      <c r="C57" s="2" t="s">
        <v>31</v>
      </c>
      <c r="D57" s="8">
        <v>355</v>
      </c>
      <c r="E57" s="8">
        <v>47</v>
      </c>
      <c r="F57" s="8">
        <v>216</v>
      </c>
      <c r="G57" s="8">
        <v>688</v>
      </c>
      <c r="H57" s="2" t="s">
        <v>27</v>
      </c>
      <c r="I57" s="2" t="s">
        <v>192</v>
      </c>
      <c r="J57" s="9">
        <v>25569.333865752316</v>
      </c>
    </row>
    <row x14ac:dyDescent="0.25" r="58" customHeight="1" ht="19.5">
      <c r="A58" s="2" t="s">
        <v>193</v>
      </c>
      <c r="B58" s="2" t="s">
        <v>194</v>
      </c>
      <c r="C58" s="2" t="s">
        <v>26</v>
      </c>
      <c r="D58" s="8">
        <v>243</v>
      </c>
      <c r="E58" s="8">
        <v>22</v>
      </c>
      <c r="F58" s="8">
        <v>275</v>
      </c>
      <c r="G58" s="8">
        <v>280</v>
      </c>
      <c r="H58" s="2" t="s">
        <v>32</v>
      </c>
      <c r="I58" s="2" t="s">
        <v>195</v>
      </c>
      <c r="J58" s="9">
        <v>25569.333865752316</v>
      </c>
    </row>
    <row x14ac:dyDescent="0.25" r="59" customHeight="1" ht="19.5">
      <c r="A59" s="2" t="s">
        <v>196</v>
      </c>
      <c r="B59" s="2" t="s">
        <v>197</v>
      </c>
      <c r="C59" s="2" t="s">
        <v>44</v>
      </c>
      <c r="D59" s="8">
        <v>392</v>
      </c>
      <c r="E59" s="8">
        <v>30</v>
      </c>
      <c r="F59" s="8">
        <v>268</v>
      </c>
      <c r="G59" s="8">
        <v>660</v>
      </c>
      <c r="H59" s="2" t="s">
        <v>27</v>
      </c>
      <c r="I59" s="2" t="s">
        <v>198</v>
      </c>
      <c r="J59" s="9">
        <v>25569.333865752316</v>
      </c>
    </row>
    <row x14ac:dyDescent="0.25" r="60" customHeight="1" ht="19.5">
      <c r="A60" s="2" t="s">
        <v>199</v>
      </c>
      <c r="B60" s="2" t="s">
        <v>200</v>
      </c>
      <c r="C60" s="2" t="s">
        <v>40</v>
      </c>
      <c r="D60" s="8">
        <v>449</v>
      </c>
      <c r="E60" s="8">
        <v>50</v>
      </c>
      <c r="F60" s="8">
        <v>360</v>
      </c>
      <c r="G60" s="8">
        <v>472</v>
      </c>
      <c r="H60" s="2" t="s">
        <v>32</v>
      </c>
      <c r="I60" s="2" t="s">
        <v>201</v>
      </c>
      <c r="J60" s="9">
        <v>25569.333865752316</v>
      </c>
    </row>
    <row x14ac:dyDescent="0.25" r="61" customHeight="1" ht="19.5">
      <c r="A61" s="2" t="s">
        <v>202</v>
      </c>
      <c r="B61" s="2" t="s">
        <v>203</v>
      </c>
      <c r="C61" s="2" t="s">
        <v>44</v>
      </c>
      <c r="D61" s="8">
        <v>114</v>
      </c>
      <c r="E61" s="8">
        <v>79</v>
      </c>
      <c r="F61" s="8">
        <v>230</v>
      </c>
      <c r="G61" s="8">
        <v>1596</v>
      </c>
      <c r="H61" s="2" t="s">
        <v>27</v>
      </c>
      <c r="I61" s="2" t="s">
        <v>204</v>
      </c>
      <c r="J61" s="9">
        <v>25569.333865752316</v>
      </c>
    </row>
    <row x14ac:dyDescent="0.25" r="62" customHeight="1" ht="19.5">
      <c r="A62" s="2" t="s">
        <v>205</v>
      </c>
      <c r="B62" s="2" t="s">
        <v>206</v>
      </c>
      <c r="C62" s="2" t="s">
        <v>40</v>
      </c>
      <c r="D62" s="8">
        <v>129</v>
      </c>
      <c r="E62" s="8">
        <v>46</v>
      </c>
      <c r="F62" s="8">
        <v>426</v>
      </c>
      <c r="G62" s="8">
        <v>1075</v>
      </c>
      <c r="H62" s="2" t="s">
        <v>27</v>
      </c>
      <c r="I62" s="2" t="s">
        <v>207</v>
      </c>
      <c r="J62" s="9">
        <v>25569.333865752316</v>
      </c>
    </row>
    <row x14ac:dyDescent="0.25" r="63" customHeight="1" ht="19.5">
      <c r="A63" s="2" t="s">
        <v>208</v>
      </c>
      <c r="B63" s="2" t="s">
        <v>209</v>
      </c>
      <c r="C63" s="2" t="s">
        <v>44</v>
      </c>
      <c r="D63" s="8">
        <v>20</v>
      </c>
      <c r="E63" s="8">
        <v>77</v>
      </c>
      <c r="F63" s="8">
        <v>588</v>
      </c>
      <c r="G63" s="8">
        <v>741</v>
      </c>
      <c r="H63" s="2" t="s">
        <v>36</v>
      </c>
      <c r="I63" s="2" t="s">
        <v>210</v>
      </c>
      <c r="J63" s="9">
        <v>25569.333865752316</v>
      </c>
    </row>
    <row x14ac:dyDescent="0.25" r="64" customHeight="1" ht="19.5">
      <c r="A64" s="2" t="s">
        <v>211</v>
      </c>
      <c r="B64" s="2" t="s">
        <v>212</v>
      </c>
      <c r="C64" s="2" t="s">
        <v>44</v>
      </c>
      <c r="D64" s="8">
        <v>348</v>
      </c>
      <c r="E64" s="8">
        <v>39</v>
      </c>
      <c r="F64" s="8">
        <v>454</v>
      </c>
      <c r="G64" s="8">
        <v>1390</v>
      </c>
      <c r="H64" s="2" t="s">
        <v>32</v>
      </c>
      <c r="I64" s="2" t="s">
        <v>213</v>
      </c>
      <c r="J64" s="9">
        <v>25569.333865752316</v>
      </c>
    </row>
    <row x14ac:dyDescent="0.25" r="65" customHeight="1" ht="19.5">
      <c r="A65" s="2" t="s">
        <v>214</v>
      </c>
      <c r="B65" s="2" t="s">
        <v>215</v>
      </c>
      <c r="C65" s="2" t="s">
        <v>31</v>
      </c>
      <c r="D65" s="8">
        <v>497</v>
      </c>
      <c r="E65" s="8">
        <v>44</v>
      </c>
      <c r="F65" s="8">
        <v>585</v>
      </c>
      <c r="G65" s="8">
        <v>1706</v>
      </c>
      <c r="H65" s="2" t="s">
        <v>32</v>
      </c>
      <c r="I65" s="2" t="s">
        <v>216</v>
      </c>
      <c r="J65" s="9">
        <v>25569.333865752316</v>
      </c>
    </row>
    <row x14ac:dyDescent="0.25" r="66" customHeight="1" ht="19.5">
      <c r="A66" s="2" t="s">
        <v>217</v>
      </c>
      <c r="B66" s="2" t="s">
        <v>218</v>
      </c>
      <c r="C66" s="2" t="s">
        <v>40</v>
      </c>
      <c r="D66" s="8">
        <v>322</v>
      </c>
      <c r="E66" s="8">
        <v>20</v>
      </c>
      <c r="F66" s="8">
        <v>506</v>
      </c>
      <c r="G66" s="8">
        <v>822</v>
      </c>
      <c r="H66" s="2" t="s">
        <v>36</v>
      </c>
      <c r="I66" s="2" t="s">
        <v>85</v>
      </c>
      <c r="J66" s="9">
        <v>25569.333865752316</v>
      </c>
    </row>
    <row x14ac:dyDescent="0.25" r="67" customHeight="1" ht="19.5">
      <c r="A67" s="2" t="s">
        <v>219</v>
      </c>
      <c r="B67" s="2" t="s">
        <v>220</v>
      </c>
      <c r="C67" s="2" t="s">
        <v>54</v>
      </c>
      <c r="D67" s="8">
        <v>395</v>
      </c>
      <c r="E67" s="8">
        <v>67</v>
      </c>
      <c r="F67" s="8">
        <v>512</v>
      </c>
      <c r="G67" s="8">
        <v>420</v>
      </c>
      <c r="H67" s="2" t="s">
        <v>27</v>
      </c>
      <c r="I67" s="2" t="s">
        <v>221</v>
      </c>
      <c r="J67" s="9">
        <v>25569.333865752316</v>
      </c>
    </row>
    <row x14ac:dyDescent="0.25" r="68" customHeight="1" ht="19.5">
      <c r="A68" s="2" t="s">
        <v>222</v>
      </c>
      <c r="B68" s="2" t="s">
        <v>223</v>
      </c>
      <c r="C68" s="2" t="s">
        <v>31</v>
      </c>
      <c r="D68" s="8">
        <v>93</v>
      </c>
      <c r="E68" s="8">
        <v>24</v>
      </c>
      <c r="F68" s="8">
        <v>477</v>
      </c>
      <c r="G68" s="8">
        <v>1944</v>
      </c>
      <c r="H68" s="2" t="s">
        <v>36</v>
      </c>
      <c r="I68" s="2" t="s">
        <v>224</v>
      </c>
      <c r="J68" s="9">
        <v>25569.333865752316</v>
      </c>
    </row>
    <row x14ac:dyDescent="0.25" r="69" customHeight="1" ht="19.5">
      <c r="A69" s="2" t="s">
        <v>225</v>
      </c>
      <c r="B69" s="2" t="s">
        <v>226</v>
      </c>
      <c r="C69" s="2" t="s">
        <v>40</v>
      </c>
      <c r="D69" s="8">
        <v>174</v>
      </c>
      <c r="E69" s="8">
        <v>73</v>
      </c>
      <c r="F69" s="8">
        <v>586</v>
      </c>
      <c r="G69" s="8">
        <v>1965</v>
      </c>
      <c r="H69" s="2" t="s">
        <v>36</v>
      </c>
      <c r="I69" s="2" t="s">
        <v>227</v>
      </c>
      <c r="J69" s="9">
        <v>25569.333865752316</v>
      </c>
    </row>
    <row x14ac:dyDescent="0.25" r="70" customHeight="1" ht="19.5">
      <c r="A70" s="2" t="s">
        <v>228</v>
      </c>
      <c r="B70" s="2" t="s">
        <v>229</v>
      </c>
      <c r="C70" s="2" t="s">
        <v>31</v>
      </c>
      <c r="D70" s="8">
        <v>414</v>
      </c>
      <c r="E70" s="8">
        <v>88</v>
      </c>
      <c r="F70" s="8">
        <v>303</v>
      </c>
      <c r="G70" s="8">
        <v>1831</v>
      </c>
      <c r="H70" s="2" t="s">
        <v>36</v>
      </c>
      <c r="I70" s="2" t="s">
        <v>230</v>
      </c>
      <c r="J70" s="9">
        <v>25569.333865752316</v>
      </c>
    </row>
    <row x14ac:dyDescent="0.25" r="71" customHeight="1" ht="19.5">
      <c r="A71" s="2" t="s">
        <v>231</v>
      </c>
      <c r="B71" s="2" t="s">
        <v>232</v>
      </c>
      <c r="C71" s="2" t="s">
        <v>26</v>
      </c>
      <c r="D71" s="8">
        <v>211</v>
      </c>
      <c r="E71" s="8">
        <v>35</v>
      </c>
      <c r="F71" s="8">
        <v>571</v>
      </c>
      <c r="G71" s="8">
        <v>381</v>
      </c>
      <c r="H71" s="2" t="s">
        <v>36</v>
      </c>
      <c r="I71" s="2" t="s">
        <v>233</v>
      </c>
      <c r="J71" s="9">
        <v>25569.333865752316</v>
      </c>
    </row>
    <row x14ac:dyDescent="0.25" r="72" customHeight="1" ht="19.5">
      <c r="A72" s="2" t="s">
        <v>234</v>
      </c>
      <c r="B72" s="2" t="s">
        <v>235</v>
      </c>
      <c r="C72" s="2" t="s">
        <v>44</v>
      </c>
      <c r="D72" s="8">
        <v>489</v>
      </c>
      <c r="E72" s="8">
        <v>58</v>
      </c>
      <c r="F72" s="8">
        <v>288</v>
      </c>
      <c r="G72" s="8">
        <v>991</v>
      </c>
      <c r="H72" s="2" t="s">
        <v>32</v>
      </c>
      <c r="I72" s="2" t="s">
        <v>236</v>
      </c>
      <c r="J72" s="9">
        <v>25569.333865752316</v>
      </c>
    </row>
    <row x14ac:dyDescent="0.25" r="73" customHeight="1" ht="19.5">
      <c r="A73" s="2" t="s">
        <v>237</v>
      </c>
      <c r="B73" s="2" t="s">
        <v>238</v>
      </c>
      <c r="C73" s="2" t="s">
        <v>31</v>
      </c>
      <c r="D73" s="8">
        <v>136</v>
      </c>
      <c r="E73" s="8">
        <v>69</v>
      </c>
      <c r="F73" s="8">
        <v>276</v>
      </c>
      <c r="G73" s="8">
        <v>749</v>
      </c>
      <c r="H73" s="2" t="s">
        <v>27</v>
      </c>
      <c r="I73" s="2" t="s">
        <v>239</v>
      </c>
      <c r="J73" s="9">
        <v>25569.333865752316</v>
      </c>
    </row>
    <row x14ac:dyDescent="0.25" r="74" customHeight="1" ht="19.5">
      <c r="A74" s="2" t="s">
        <v>240</v>
      </c>
      <c r="B74" s="2" t="s">
        <v>241</v>
      </c>
      <c r="C74" s="2" t="s">
        <v>26</v>
      </c>
      <c r="D74" s="8">
        <v>14</v>
      </c>
      <c r="E74" s="8">
        <v>55</v>
      </c>
      <c r="F74" s="8">
        <v>518</v>
      </c>
      <c r="G74" s="8">
        <v>1398</v>
      </c>
      <c r="H74" s="2" t="s">
        <v>32</v>
      </c>
      <c r="I74" s="2" t="s">
        <v>242</v>
      </c>
      <c r="J74" s="9">
        <v>25569.333865752316</v>
      </c>
    </row>
    <row x14ac:dyDescent="0.25" r="75" customHeight="1" ht="19.5">
      <c r="A75" s="2" t="s">
        <v>243</v>
      </c>
      <c r="B75" s="2" t="s">
        <v>244</v>
      </c>
      <c r="C75" s="2" t="s">
        <v>40</v>
      </c>
      <c r="D75" s="8">
        <v>329</v>
      </c>
      <c r="E75" s="8">
        <v>43</v>
      </c>
      <c r="F75" s="8">
        <v>504</v>
      </c>
      <c r="G75" s="8">
        <v>195</v>
      </c>
      <c r="H75" s="2" t="s">
        <v>27</v>
      </c>
      <c r="I75" s="2" t="s">
        <v>245</v>
      </c>
      <c r="J75" s="9">
        <v>25569.333865752316</v>
      </c>
    </row>
    <row x14ac:dyDescent="0.25" r="76" customHeight="1" ht="19.5">
      <c r="A76" s="2" t="s">
        <v>246</v>
      </c>
      <c r="B76" s="2" t="s">
        <v>247</v>
      </c>
      <c r="C76" s="2" t="s">
        <v>31</v>
      </c>
      <c r="D76" s="8">
        <v>89</v>
      </c>
      <c r="E76" s="8">
        <v>88</v>
      </c>
      <c r="F76" s="8">
        <v>259</v>
      </c>
      <c r="G76" s="8">
        <v>1384</v>
      </c>
      <c r="H76" s="2" t="s">
        <v>27</v>
      </c>
      <c r="I76" s="2" t="s">
        <v>248</v>
      </c>
      <c r="J76" s="9">
        <v>25569.333865752316</v>
      </c>
    </row>
    <row x14ac:dyDescent="0.25" r="77" customHeight="1" ht="19.5">
      <c r="A77" s="2" t="s">
        <v>249</v>
      </c>
      <c r="B77" s="2" t="s">
        <v>250</v>
      </c>
      <c r="C77" s="2" t="s">
        <v>26</v>
      </c>
      <c r="D77" s="8">
        <v>465</v>
      </c>
      <c r="E77" s="8">
        <v>48</v>
      </c>
      <c r="F77" s="8">
        <v>350</v>
      </c>
      <c r="G77" s="8">
        <v>806</v>
      </c>
      <c r="H77" s="2" t="s">
        <v>32</v>
      </c>
      <c r="I77" s="2" t="s">
        <v>48</v>
      </c>
      <c r="J77" s="9">
        <v>25569.333865752316</v>
      </c>
    </row>
    <row x14ac:dyDescent="0.25" r="78" customHeight="1" ht="19.5">
      <c r="A78" s="2" t="s">
        <v>251</v>
      </c>
      <c r="B78" s="2" t="s">
        <v>252</v>
      </c>
      <c r="C78" s="2" t="s">
        <v>40</v>
      </c>
      <c r="D78" s="8">
        <v>288</v>
      </c>
      <c r="E78" s="8">
        <v>44</v>
      </c>
      <c r="F78" s="8">
        <v>476</v>
      </c>
      <c r="G78" s="8">
        <v>450</v>
      </c>
      <c r="H78" s="2" t="s">
        <v>27</v>
      </c>
      <c r="I78" s="2" t="s">
        <v>253</v>
      </c>
      <c r="J78" s="9">
        <v>25569.333865752316</v>
      </c>
    </row>
    <row x14ac:dyDescent="0.25" r="79" customHeight="1" ht="19.5">
      <c r="A79" s="2" t="s">
        <v>254</v>
      </c>
      <c r="B79" s="2" t="s">
        <v>255</v>
      </c>
      <c r="C79" s="2" t="s">
        <v>40</v>
      </c>
      <c r="D79" s="8">
        <v>490</v>
      </c>
      <c r="E79" s="8">
        <v>77</v>
      </c>
      <c r="F79" s="8">
        <v>597</v>
      </c>
      <c r="G79" s="8">
        <v>654</v>
      </c>
      <c r="H79" s="2" t="s">
        <v>32</v>
      </c>
      <c r="I79" s="2" t="s">
        <v>256</v>
      </c>
      <c r="J79" s="9">
        <v>25569.333865752316</v>
      </c>
    </row>
    <row x14ac:dyDescent="0.25" r="80" customHeight="1" ht="19.5">
      <c r="A80" s="2" t="s">
        <v>257</v>
      </c>
      <c r="B80" s="2" t="s">
        <v>258</v>
      </c>
      <c r="C80" s="2" t="s">
        <v>54</v>
      </c>
      <c r="D80" s="8">
        <v>180</v>
      </c>
      <c r="E80" s="8">
        <v>75</v>
      </c>
      <c r="F80" s="8">
        <v>276</v>
      </c>
      <c r="G80" s="8">
        <v>515</v>
      </c>
      <c r="H80" s="2" t="s">
        <v>27</v>
      </c>
      <c r="I80" s="2" t="s">
        <v>259</v>
      </c>
      <c r="J80" s="9">
        <v>25569.333865752316</v>
      </c>
    </row>
    <row x14ac:dyDescent="0.25" r="81" customHeight="1" ht="19.5">
      <c r="A81" s="2" t="s">
        <v>260</v>
      </c>
      <c r="B81" s="2" t="s">
        <v>261</v>
      </c>
      <c r="C81" s="2" t="s">
        <v>40</v>
      </c>
      <c r="D81" s="8">
        <v>230</v>
      </c>
      <c r="E81" s="8">
        <v>37</v>
      </c>
      <c r="F81" s="8">
        <v>272</v>
      </c>
      <c r="G81" s="8">
        <v>978</v>
      </c>
      <c r="H81" s="2" t="s">
        <v>36</v>
      </c>
      <c r="I81" s="2" t="s">
        <v>262</v>
      </c>
      <c r="J81" s="9">
        <v>25569.333865752316</v>
      </c>
    </row>
    <row x14ac:dyDescent="0.25" r="82" customHeight="1" ht="19.5">
      <c r="A82" s="2" t="s">
        <v>263</v>
      </c>
      <c r="B82" s="2" t="s">
        <v>264</v>
      </c>
      <c r="C82" s="2" t="s">
        <v>40</v>
      </c>
      <c r="D82" s="8">
        <v>18</v>
      </c>
      <c r="E82" s="8">
        <v>89</v>
      </c>
      <c r="F82" s="8">
        <v>319</v>
      </c>
      <c r="G82" s="8">
        <v>662</v>
      </c>
      <c r="H82" s="2" t="s">
        <v>32</v>
      </c>
      <c r="I82" s="2" t="s">
        <v>265</v>
      </c>
      <c r="J82" s="9">
        <v>25569.333865752316</v>
      </c>
    </row>
    <row x14ac:dyDescent="0.25" r="83" customHeight="1" ht="19.5">
      <c r="A83" s="2" t="s">
        <v>266</v>
      </c>
      <c r="B83" s="2" t="s">
        <v>267</v>
      </c>
      <c r="C83" s="2" t="s">
        <v>31</v>
      </c>
      <c r="D83" s="8">
        <v>408</v>
      </c>
      <c r="E83" s="8">
        <v>87</v>
      </c>
      <c r="F83" s="8">
        <v>529</v>
      </c>
      <c r="G83" s="8">
        <v>1275</v>
      </c>
      <c r="H83" s="2" t="s">
        <v>36</v>
      </c>
      <c r="I83" s="2" t="s">
        <v>268</v>
      </c>
      <c r="J83" s="9">
        <v>25569.333865752316</v>
      </c>
    </row>
    <row x14ac:dyDescent="0.25" r="84" customHeight="1" ht="19.5">
      <c r="A84" s="2" t="s">
        <v>269</v>
      </c>
      <c r="B84" s="2" t="s">
        <v>270</v>
      </c>
      <c r="C84" s="2" t="s">
        <v>54</v>
      </c>
      <c r="D84" s="8">
        <v>346</v>
      </c>
      <c r="E84" s="8">
        <v>35</v>
      </c>
      <c r="F84" s="8">
        <v>417</v>
      </c>
      <c r="G84" s="8">
        <v>494</v>
      </c>
      <c r="H84" s="2" t="s">
        <v>36</v>
      </c>
      <c r="I84" s="2" t="s">
        <v>271</v>
      </c>
      <c r="J84" s="9">
        <v>25569.333865752316</v>
      </c>
    </row>
    <row x14ac:dyDescent="0.25" r="85" customHeight="1" ht="19.5">
      <c r="A85" s="2" t="s">
        <v>272</v>
      </c>
      <c r="B85" s="2" t="s">
        <v>273</v>
      </c>
      <c r="C85" s="2" t="s">
        <v>40</v>
      </c>
      <c r="D85" s="8">
        <v>79</v>
      </c>
      <c r="E85" s="8">
        <v>26</v>
      </c>
      <c r="F85" s="8">
        <v>471</v>
      </c>
      <c r="G85" s="8">
        <v>1812</v>
      </c>
      <c r="H85" s="2" t="s">
        <v>32</v>
      </c>
      <c r="I85" s="2" t="s">
        <v>274</v>
      </c>
      <c r="J85" s="9">
        <v>25569.333865752316</v>
      </c>
    </row>
    <row x14ac:dyDescent="0.25" r="86" customHeight="1" ht="19.5">
      <c r="A86" s="2" t="s">
        <v>275</v>
      </c>
      <c r="B86" s="2" t="s">
        <v>276</v>
      </c>
      <c r="C86" s="2" t="s">
        <v>31</v>
      </c>
      <c r="D86" s="8">
        <v>290</v>
      </c>
      <c r="E86" s="8">
        <v>40</v>
      </c>
      <c r="F86" s="8">
        <v>377</v>
      </c>
      <c r="G86" s="8">
        <v>277</v>
      </c>
      <c r="H86" s="2" t="s">
        <v>36</v>
      </c>
      <c r="I86" s="2" t="s">
        <v>277</v>
      </c>
      <c r="J86" s="9">
        <v>25569.333865752316</v>
      </c>
    </row>
    <row x14ac:dyDescent="0.25" r="87" customHeight="1" ht="19.5">
      <c r="A87" s="2" t="s">
        <v>278</v>
      </c>
      <c r="B87" s="2" t="s">
        <v>279</v>
      </c>
      <c r="C87" s="2" t="s">
        <v>40</v>
      </c>
      <c r="D87" s="8">
        <v>133</v>
      </c>
      <c r="E87" s="8">
        <v>46</v>
      </c>
      <c r="F87" s="8">
        <v>352</v>
      </c>
      <c r="G87" s="8">
        <v>1139</v>
      </c>
      <c r="H87" s="2" t="s">
        <v>36</v>
      </c>
      <c r="I87" s="2" t="s">
        <v>280</v>
      </c>
      <c r="J87" s="9">
        <v>25569.333865752316</v>
      </c>
    </row>
    <row x14ac:dyDescent="0.25" r="88" customHeight="1" ht="19.5">
      <c r="A88" s="2" t="s">
        <v>281</v>
      </c>
      <c r="B88" s="2" t="s">
        <v>282</v>
      </c>
      <c r="C88" s="2" t="s">
        <v>31</v>
      </c>
      <c r="D88" s="8">
        <v>436</v>
      </c>
      <c r="E88" s="8">
        <v>80</v>
      </c>
      <c r="F88" s="8">
        <v>458</v>
      </c>
      <c r="G88" s="8">
        <v>152</v>
      </c>
      <c r="H88" s="2" t="s">
        <v>36</v>
      </c>
      <c r="I88" s="2" t="s">
        <v>283</v>
      </c>
      <c r="J88" s="9">
        <v>25569.333865752316</v>
      </c>
    </row>
    <row x14ac:dyDescent="0.25" r="89" customHeight="1" ht="19.5">
      <c r="A89" s="2" t="s">
        <v>284</v>
      </c>
      <c r="B89" s="2" t="s">
        <v>285</v>
      </c>
      <c r="C89" s="2" t="s">
        <v>40</v>
      </c>
      <c r="D89" s="8">
        <v>100</v>
      </c>
      <c r="E89" s="8">
        <v>89</v>
      </c>
      <c r="F89" s="8">
        <v>500</v>
      </c>
      <c r="G89" s="8">
        <v>275</v>
      </c>
      <c r="H89" s="2" t="s">
        <v>27</v>
      </c>
      <c r="I89" s="2" t="s">
        <v>286</v>
      </c>
      <c r="J89" s="9">
        <v>25569.333865752316</v>
      </c>
    </row>
    <row x14ac:dyDescent="0.25" r="90" customHeight="1" ht="19.5">
      <c r="A90" s="2" t="s">
        <v>287</v>
      </c>
      <c r="B90" s="2" t="s">
        <v>288</v>
      </c>
      <c r="C90" s="2" t="s">
        <v>44</v>
      </c>
      <c r="D90" s="8">
        <v>25</v>
      </c>
      <c r="E90" s="8">
        <v>33</v>
      </c>
      <c r="F90" s="8">
        <v>381</v>
      </c>
      <c r="G90" s="8">
        <v>1784</v>
      </c>
      <c r="H90" s="2" t="s">
        <v>32</v>
      </c>
      <c r="I90" s="2" t="s">
        <v>289</v>
      </c>
      <c r="J90" s="9">
        <v>25569.333865752316</v>
      </c>
    </row>
    <row x14ac:dyDescent="0.25" r="91" customHeight="1" ht="19.5">
      <c r="A91" s="2" t="s">
        <v>290</v>
      </c>
      <c r="B91" s="2" t="s">
        <v>291</v>
      </c>
      <c r="C91" s="2" t="s">
        <v>26</v>
      </c>
      <c r="D91" s="8">
        <v>30</v>
      </c>
      <c r="E91" s="8">
        <v>78</v>
      </c>
      <c r="F91" s="8">
        <v>484</v>
      </c>
      <c r="G91" s="8">
        <v>667</v>
      </c>
      <c r="H91" s="2" t="s">
        <v>36</v>
      </c>
      <c r="I91" s="2" t="s">
        <v>292</v>
      </c>
      <c r="J91" s="9">
        <v>25569.333865752316</v>
      </c>
    </row>
    <row x14ac:dyDescent="0.25" r="92" customHeight="1" ht="19.5">
      <c r="A92" s="2" t="s">
        <v>293</v>
      </c>
      <c r="B92" s="2" t="s">
        <v>294</v>
      </c>
      <c r="C92" s="2" t="s">
        <v>31</v>
      </c>
      <c r="D92" s="8">
        <v>255</v>
      </c>
      <c r="E92" s="8">
        <v>77</v>
      </c>
      <c r="F92" s="8">
        <v>223</v>
      </c>
      <c r="G92" s="8">
        <v>1182</v>
      </c>
      <c r="H92" s="2" t="s">
        <v>27</v>
      </c>
      <c r="I92" s="2" t="s">
        <v>295</v>
      </c>
      <c r="J92" s="9">
        <v>25569.333865752316</v>
      </c>
    </row>
    <row x14ac:dyDescent="0.25" r="93" customHeight="1" ht="19.5">
      <c r="A93" s="2" t="s">
        <v>296</v>
      </c>
      <c r="B93" s="2" t="s">
        <v>297</v>
      </c>
      <c r="C93" s="2" t="s">
        <v>54</v>
      </c>
      <c r="D93" s="8">
        <v>24</v>
      </c>
      <c r="E93" s="8">
        <v>78</v>
      </c>
      <c r="F93" s="8">
        <v>487</v>
      </c>
      <c r="G93" s="8">
        <v>1701</v>
      </c>
      <c r="H93" s="2" t="s">
        <v>32</v>
      </c>
      <c r="I93" s="2" t="s">
        <v>298</v>
      </c>
      <c r="J93" s="9">
        <v>25569.333865752316</v>
      </c>
    </row>
    <row x14ac:dyDescent="0.25" r="94" customHeight="1" ht="19.5">
      <c r="A94" s="2" t="s">
        <v>299</v>
      </c>
      <c r="B94" s="2" t="s">
        <v>300</v>
      </c>
      <c r="C94" s="2" t="s">
        <v>26</v>
      </c>
      <c r="D94" s="8">
        <v>36</v>
      </c>
      <c r="E94" s="8">
        <v>45</v>
      </c>
      <c r="F94" s="8">
        <v>336</v>
      </c>
      <c r="G94" s="8">
        <v>557</v>
      </c>
      <c r="H94" s="2" t="s">
        <v>27</v>
      </c>
      <c r="I94" s="2" t="s">
        <v>301</v>
      </c>
      <c r="J94" s="9">
        <v>25569.333865752316</v>
      </c>
    </row>
    <row x14ac:dyDescent="0.25" r="95" customHeight="1" ht="19.5">
      <c r="A95" s="2" t="s">
        <v>302</v>
      </c>
      <c r="B95" s="2" t="s">
        <v>303</v>
      </c>
      <c r="C95" s="2" t="s">
        <v>31</v>
      </c>
      <c r="D95" s="8">
        <v>181</v>
      </c>
      <c r="E95" s="8">
        <v>49</v>
      </c>
      <c r="F95" s="8">
        <v>252</v>
      </c>
      <c r="G95" s="8">
        <v>909</v>
      </c>
      <c r="H95" s="2" t="s">
        <v>27</v>
      </c>
      <c r="I95" s="2" t="s">
        <v>41</v>
      </c>
      <c r="J95" s="9">
        <v>25569.333865752316</v>
      </c>
    </row>
    <row x14ac:dyDescent="0.25" r="96" customHeight="1" ht="19.5">
      <c r="A96" s="2" t="s">
        <v>304</v>
      </c>
      <c r="B96" s="2" t="s">
        <v>305</v>
      </c>
      <c r="C96" s="2" t="s">
        <v>54</v>
      </c>
      <c r="D96" s="8">
        <v>446</v>
      </c>
      <c r="E96" s="8">
        <v>30</v>
      </c>
      <c r="F96" s="8">
        <v>486</v>
      </c>
      <c r="G96" s="8">
        <v>482</v>
      </c>
      <c r="H96" s="2" t="s">
        <v>27</v>
      </c>
      <c r="I96" s="2" t="s">
        <v>306</v>
      </c>
      <c r="J96" s="9">
        <v>25569.333865752316</v>
      </c>
    </row>
    <row x14ac:dyDescent="0.25" r="97" customHeight="1" ht="19.5">
      <c r="A97" s="2" t="s">
        <v>307</v>
      </c>
      <c r="B97" s="2" t="s">
        <v>308</v>
      </c>
      <c r="C97" s="2" t="s">
        <v>31</v>
      </c>
      <c r="D97" s="8">
        <v>477</v>
      </c>
      <c r="E97" s="8">
        <v>38</v>
      </c>
      <c r="F97" s="8">
        <v>595</v>
      </c>
      <c r="G97" s="8">
        <v>1600</v>
      </c>
      <c r="H97" s="2" t="s">
        <v>27</v>
      </c>
      <c r="I97" s="2" t="s">
        <v>268</v>
      </c>
      <c r="J97" s="9">
        <v>25569.333865752316</v>
      </c>
    </row>
    <row x14ac:dyDescent="0.25" r="98" customHeight="1" ht="19.5">
      <c r="A98" s="2" t="s">
        <v>309</v>
      </c>
      <c r="B98" s="2" t="s">
        <v>310</v>
      </c>
      <c r="C98" s="2" t="s">
        <v>54</v>
      </c>
      <c r="D98" s="8">
        <v>100</v>
      </c>
      <c r="E98" s="8">
        <v>56</v>
      </c>
      <c r="F98" s="8">
        <v>228</v>
      </c>
      <c r="G98" s="8">
        <v>1699</v>
      </c>
      <c r="H98" s="2" t="s">
        <v>27</v>
      </c>
      <c r="I98" s="2" t="s">
        <v>311</v>
      </c>
      <c r="J98" s="9">
        <v>25569.333865752316</v>
      </c>
    </row>
    <row x14ac:dyDescent="0.25" r="99" customHeight="1" ht="19.5">
      <c r="A99" s="2" t="s">
        <v>312</v>
      </c>
      <c r="B99" s="2" t="s">
        <v>313</v>
      </c>
      <c r="C99" s="2" t="s">
        <v>26</v>
      </c>
      <c r="D99" s="8">
        <v>363</v>
      </c>
      <c r="E99" s="8">
        <v>21</v>
      </c>
      <c r="F99" s="8">
        <v>283</v>
      </c>
      <c r="G99" s="8">
        <v>320</v>
      </c>
      <c r="H99" s="2" t="s">
        <v>32</v>
      </c>
      <c r="I99" s="2" t="s">
        <v>283</v>
      </c>
      <c r="J99" s="9">
        <v>25569.333865752316</v>
      </c>
    </row>
    <row x14ac:dyDescent="0.25" r="100" customHeight="1" ht="19.5">
      <c r="A100" s="2" t="s">
        <v>314</v>
      </c>
      <c r="B100" s="2" t="s">
        <v>315</v>
      </c>
      <c r="C100" s="2" t="s">
        <v>26</v>
      </c>
      <c r="D100" s="8">
        <v>165</v>
      </c>
      <c r="E100" s="8">
        <v>42</v>
      </c>
      <c r="F100" s="8">
        <v>258</v>
      </c>
      <c r="G100" s="8">
        <v>1675</v>
      </c>
      <c r="H100" s="2" t="s">
        <v>27</v>
      </c>
      <c r="I100" s="2" t="s">
        <v>316</v>
      </c>
      <c r="J100" s="9">
        <v>25569.333865752316</v>
      </c>
    </row>
    <row x14ac:dyDescent="0.25" r="101" customHeight="1" ht="19.5">
      <c r="A101" s="2" t="s">
        <v>317</v>
      </c>
      <c r="B101" s="2" t="s">
        <v>318</v>
      </c>
      <c r="C101" s="2" t="s">
        <v>54</v>
      </c>
      <c r="D101" s="8">
        <v>411</v>
      </c>
      <c r="E101" s="8">
        <v>85</v>
      </c>
      <c r="F101" s="8">
        <v>322</v>
      </c>
      <c r="G101" s="8">
        <v>1721</v>
      </c>
      <c r="H101" s="2" t="s">
        <v>36</v>
      </c>
      <c r="I101" s="2" t="s">
        <v>319</v>
      </c>
      <c r="J101" s="9">
        <v>25569.333865752316</v>
      </c>
    </row>
    <row x14ac:dyDescent="0.25" r="102" customHeight="1" ht="19.5">
      <c r="A102" s="2" t="s">
        <v>320</v>
      </c>
      <c r="B102" s="2" t="s">
        <v>321</v>
      </c>
      <c r="C102" s="2" t="s">
        <v>54</v>
      </c>
      <c r="D102" s="8">
        <v>228</v>
      </c>
      <c r="E102" s="8">
        <v>37</v>
      </c>
      <c r="F102" s="8">
        <v>249</v>
      </c>
      <c r="G102" s="8">
        <v>1983</v>
      </c>
      <c r="H102" s="2" t="s">
        <v>32</v>
      </c>
      <c r="I102" s="2" t="s">
        <v>322</v>
      </c>
      <c r="J102" s="9">
        <v>25569.333865752316</v>
      </c>
    </row>
    <row x14ac:dyDescent="0.25" r="103" customHeight="1" ht="19.5">
      <c r="A103" s="2" t="s">
        <v>323</v>
      </c>
      <c r="B103" s="2" t="s">
        <v>324</v>
      </c>
      <c r="C103" s="2" t="s">
        <v>26</v>
      </c>
      <c r="D103" s="8">
        <v>482</v>
      </c>
      <c r="E103" s="8">
        <v>28</v>
      </c>
      <c r="F103" s="8">
        <v>594</v>
      </c>
      <c r="G103" s="8">
        <v>1776</v>
      </c>
      <c r="H103" s="2" t="s">
        <v>27</v>
      </c>
      <c r="I103" s="2" t="s">
        <v>325</v>
      </c>
      <c r="J103" s="9">
        <v>25569.333865752316</v>
      </c>
    </row>
    <row x14ac:dyDescent="0.25" r="104" customHeight="1" ht="19.5">
      <c r="A104" s="2" t="s">
        <v>326</v>
      </c>
      <c r="B104" s="2" t="s">
        <v>327</v>
      </c>
      <c r="C104" s="2" t="s">
        <v>44</v>
      </c>
      <c r="D104" s="8">
        <v>422</v>
      </c>
      <c r="E104" s="8">
        <v>97</v>
      </c>
      <c r="F104" s="8">
        <v>274</v>
      </c>
      <c r="G104" s="8">
        <v>344</v>
      </c>
      <c r="H104" s="2" t="s">
        <v>36</v>
      </c>
      <c r="I104" s="2" t="s">
        <v>328</v>
      </c>
      <c r="J104" s="9">
        <v>25569.333865752316</v>
      </c>
    </row>
    <row x14ac:dyDescent="0.25" r="105" customHeight="1" ht="19.5">
      <c r="A105" s="2" t="s">
        <v>329</v>
      </c>
      <c r="B105" s="2" t="s">
        <v>330</v>
      </c>
      <c r="C105" s="2" t="s">
        <v>44</v>
      </c>
      <c r="D105" s="8">
        <v>393</v>
      </c>
      <c r="E105" s="8">
        <v>62</v>
      </c>
      <c r="F105" s="8">
        <v>214</v>
      </c>
      <c r="G105" s="8">
        <v>1284</v>
      </c>
      <c r="H105" s="2" t="s">
        <v>32</v>
      </c>
      <c r="I105" s="2" t="s">
        <v>213</v>
      </c>
      <c r="J105" s="9">
        <v>25569.333865752316</v>
      </c>
    </row>
    <row x14ac:dyDescent="0.25" r="106" customHeight="1" ht="19.5">
      <c r="A106" s="2" t="s">
        <v>331</v>
      </c>
      <c r="B106" s="2" t="s">
        <v>332</v>
      </c>
      <c r="C106" s="2" t="s">
        <v>44</v>
      </c>
      <c r="D106" s="8">
        <v>187</v>
      </c>
      <c r="E106" s="8">
        <v>69</v>
      </c>
      <c r="F106" s="8">
        <v>350</v>
      </c>
      <c r="G106" s="8">
        <v>1214</v>
      </c>
      <c r="H106" s="2" t="s">
        <v>36</v>
      </c>
      <c r="I106" s="2" t="s">
        <v>333</v>
      </c>
      <c r="J106" s="9">
        <v>25569.333865752316</v>
      </c>
    </row>
    <row x14ac:dyDescent="0.25" r="107" customHeight="1" ht="19.5">
      <c r="A107" s="2" t="s">
        <v>334</v>
      </c>
      <c r="B107" s="2" t="s">
        <v>335</v>
      </c>
      <c r="C107" s="2" t="s">
        <v>31</v>
      </c>
      <c r="D107" s="8">
        <v>475</v>
      </c>
      <c r="E107" s="8">
        <v>97</v>
      </c>
      <c r="F107" s="8">
        <v>208</v>
      </c>
      <c r="G107" s="8">
        <v>1706</v>
      </c>
      <c r="H107" s="2" t="s">
        <v>27</v>
      </c>
      <c r="I107" s="2" t="s">
        <v>336</v>
      </c>
      <c r="J107" s="9">
        <v>25569.333865752316</v>
      </c>
    </row>
    <row x14ac:dyDescent="0.25" r="108" customHeight="1" ht="19.5">
      <c r="A108" s="2" t="s">
        <v>337</v>
      </c>
      <c r="B108" s="2" t="s">
        <v>338</v>
      </c>
      <c r="C108" s="2" t="s">
        <v>54</v>
      </c>
      <c r="D108" s="8">
        <v>100</v>
      </c>
      <c r="E108" s="8">
        <v>40</v>
      </c>
      <c r="F108" s="8">
        <v>345</v>
      </c>
      <c r="G108" s="8">
        <v>1938</v>
      </c>
      <c r="H108" s="2" t="s">
        <v>27</v>
      </c>
      <c r="I108" s="2" t="s">
        <v>339</v>
      </c>
      <c r="J108" s="9">
        <v>25569.333865752316</v>
      </c>
    </row>
    <row x14ac:dyDescent="0.25" r="109" customHeight="1" ht="19.5">
      <c r="A109" s="2" t="s">
        <v>340</v>
      </c>
      <c r="B109" s="2" t="s">
        <v>341</v>
      </c>
      <c r="C109" s="2" t="s">
        <v>40</v>
      </c>
      <c r="D109" s="8">
        <v>336</v>
      </c>
      <c r="E109" s="8">
        <v>62</v>
      </c>
      <c r="F109" s="8">
        <v>294</v>
      </c>
      <c r="G109" s="8">
        <v>275</v>
      </c>
      <c r="H109" s="2" t="s">
        <v>32</v>
      </c>
      <c r="I109" s="2" t="s">
        <v>342</v>
      </c>
      <c r="J109" s="9">
        <v>25569.333865752316</v>
      </c>
    </row>
    <row x14ac:dyDescent="0.25" r="110" customHeight="1" ht="19.5">
      <c r="A110" s="2" t="s">
        <v>343</v>
      </c>
      <c r="B110" s="2" t="s">
        <v>344</v>
      </c>
      <c r="C110" s="2" t="s">
        <v>54</v>
      </c>
      <c r="D110" s="8">
        <v>395</v>
      </c>
      <c r="E110" s="8">
        <v>31</v>
      </c>
      <c r="F110" s="8">
        <v>436</v>
      </c>
      <c r="G110" s="8">
        <v>1907</v>
      </c>
      <c r="H110" s="2" t="s">
        <v>32</v>
      </c>
      <c r="I110" s="2" t="s">
        <v>345</v>
      </c>
      <c r="J110" s="9">
        <v>25569.333865752316</v>
      </c>
    </row>
    <row x14ac:dyDescent="0.25" r="111" customHeight="1" ht="19.5">
      <c r="A111" s="2" t="s">
        <v>346</v>
      </c>
      <c r="B111" s="2" t="s">
        <v>347</v>
      </c>
      <c r="C111" s="2" t="s">
        <v>44</v>
      </c>
      <c r="D111" s="8">
        <v>336</v>
      </c>
      <c r="E111" s="8">
        <v>26</v>
      </c>
      <c r="F111" s="8">
        <v>421</v>
      </c>
      <c r="G111" s="8">
        <v>1229</v>
      </c>
      <c r="H111" s="2" t="s">
        <v>32</v>
      </c>
      <c r="I111" s="2" t="s">
        <v>277</v>
      </c>
      <c r="J111" s="9">
        <v>25569.333865752316</v>
      </c>
    </row>
    <row x14ac:dyDescent="0.25" r="112" customHeight="1" ht="19.5">
      <c r="A112" s="2" t="s">
        <v>348</v>
      </c>
      <c r="B112" s="2" t="s">
        <v>349</v>
      </c>
      <c r="C112" s="2" t="s">
        <v>31</v>
      </c>
      <c r="D112" s="8">
        <v>157</v>
      </c>
      <c r="E112" s="8">
        <v>51</v>
      </c>
      <c r="F112" s="8">
        <v>525</v>
      </c>
      <c r="G112" s="8">
        <v>420</v>
      </c>
      <c r="H112" s="2" t="s">
        <v>32</v>
      </c>
      <c r="I112" s="2" t="s">
        <v>350</v>
      </c>
      <c r="J112" s="9">
        <v>25569.333865752316</v>
      </c>
    </row>
    <row x14ac:dyDescent="0.25" r="113" customHeight="1" ht="19.5">
      <c r="A113" s="2" t="s">
        <v>351</v>
      </c>
      <c r="B113" s="2" t="s">
        <v>352</v>
      </c>
      <c r="C113" s="2" t="s">
        <v>54</v>
      </c>
      <c r="D113" s="8">
        <v>337</v>
      </c>
      <c r="E113" s="8">
        <v>43</v>
      </c>
      <c r="F113" s="8">
        <v>557</v>
      </c>
      <c r="G113" s="8">
        <v>1363</v>
      </c>
      <c r="H113" s="2" t="s">
        <v>27</v>
      </c>
      <c r="I113" s="2" t="s">
        <v>227</v>
      </c>
      <c r="J113" s="9">
        <v>25569.333865752316</v>
      </c>
    </row>
    <row x14ac:dyDescent="0.25" r="114" customHeight="1" ht="19.5">
      <c r="A114" s="2" t="s">
        <v>353</v>
      </c>
      <c r="B114" s="2" t="s">
        <v>354</v>
      </c>
      <c r="C114" s="2" t="s">
        <v>54</v>
      </c>
      <c r="D114" s="8">
        <v>213</v>
      </c>
      <c r="E114" s="8">
        <v>43</v>
      </c>
      <c r="F114" s="8">
        <v>520</v>
      </c>
      <c r="G114" s="8">
        <v>323</v>
      </c>
      <c r="H114" s="2" t="s">
        <v>36</v>
      </c>
      <c r="I114" s="2" t="s">
        <v>61</v>
      </c>
      <c r="J114" s="9">
        <v>25569.333865752316</v>
      </c>
    </row>
    <row x14ac:dyDescent="0.25" r="115" customHeight="1" ht="19.5">
      <c r="A115" s="2" t="s">
        <v>355</v>
      </c>
      <c r="B115" s="2" t="s">
        <v>356</v>
      </c>
      <c r="C115" s="2" t="s">
        <v>54</v>
      </c>
      <c r="D115" s="8">
        <v>155</v>
      </c>
      <c r="E115" s="8">
        <v>90</v>
      </c>
      <c r="F115" s="8">
        <v>361</v>
      </c>
      <c r="G115" s="8">
        <v>1980</v>
      </c>
      <c r="H115" s="2" t="s">
        <v>32</v>
      </c>
      <c r="I115" s="2" t="s">
        <v>357</v>
      </c>
      <c r="J115" s="9">
        <v>25569.333865752316</v>
      </c>
    </row>
    <row x14ac:dyDescent="0.25" r="116" customHeight="1" ht="19.5">
      <c r="A116" s="2" t="s">
        <v>358</v>
      </c>
      <c r="B116" s="2" t="s">
        <v>359</v>
      </c>
      <c r="C116" s="2" t="s">
        <v>26</v>
      </c>
      <c r="D116" s="8">
        <v>162</v>
      </c>
      <c r="E116" s="8">
        <v>61</v>
      </c>
      <c r="F116" s="8">
        <v>483</v>
      </c>
      <c r="G116" s="8">
        <v>428</v>
      </c>
      <c r="H116" s="2" t="s">
        <v>32</v>
      </c>
      <c r="I116" s="2" t="s">
        <v>360</v>
      </c>
      <c r="J116" s="9">
        <v>25569.333865752316</v>
      </c>
    </row>
    <row x14ac:dyDescent="0.25" r="117" customHeight="1" ht="19.5">
      <c r="A117" s="2" t="s">
        <v>361</v>
      </c>
      <c r="B117" s="2" t="s">
        <v>362</v>
      </c>
      <c r="C117" s="2" t="s">
        <v>26</v>
      </c>
      <c r="D117" s="8">
        <v>219</v>
      </c>
      <c r="E117" s="8">
        <v>43</v>
      </c>
      <c r="F117" s="8">
        <v>335</v>
      </c>
      <c r="G117" s="8">
        <v>667</v>
      </c>
      <c r="H117" s="2" t="s">
        <v>32</v>
      </c>
      <c r="I117" s="2" t="s">
        <v>363</v>
      </c>
      <c r="J117" s="9">
        <v>25569.333865752316</v>
      </c>
    </row>
    <row x14ac:dyDescent="0.25" r="118" customHeight="1" ht="19.5">
      <c r="A118" s="2" t="s">
        <v>364</v>
      </c>
      <c r="B118" s="2" t="s">
        <v>365</v>
      </c>
      <c r="C118" s="2" t="s">
        <v>44</v>
      </c>
      <c r="D118" s="8">
        <v>308</v>
      </c>
      <c r="E118" s="8">
        <v>91</v>
      </c>
      <c r="F118" s="8">
        <v>587</v>
      </c>
      <c r="G118" s="8">
        <v>1548</v>
      </c>
      <c r="H118" s="2" t="s">
        <v>36</v>
      </c>
      <c r="I118" s="2" t="s">
        <v>213</v>
      </c>
      <c r="J118" s="9">
        <v>25569.333865752316</v>
      </c>
    </row>
    <row x14ac:dyDescent="0.25" r="119" customHeight="1" ht="19.5">
      <c r="A119" s="2" t="s">
        <v>366</v>
      </c>
      <c r="B119" s="2" t="s">
        <v>367</v>
      </c>
      <c r="C119" s="2" t="s">
        <v>40</v>
      </c>
      <c r="D119" s="8">
        <v>304</v>
      </c>
      <c r="E119" s="8">
        <v>49</v>
      </c>
      <c r="F119" s="8">
        <v>527</v>
      </c>
      <c r="G119" s="8">
        <v>1176</v>
      </c>
      <c r="H119" s="2" t="s">
        <v>27</v>
      </c>
      <c r="I119" s="2" t="s">
        <v>368</v>
      </c>
      <c r="J119" s="9">
        <v>25569.333865752316</v>
      </c>
    </row>
    <row x14ac:dyDescent="0.25" r="120" customHeight="1" ht="19.5">
      <c r="A120" s="2" t="s">
        <v>369</v>
      </c>
      <c r="B120" s="2" t="s">
        <v>370</v>
      </c>
      <c r="C120" s="2" t="s">
        <v>26</v>
      </c>
      <c r="D120" s="8">
        <v>440</v>
      </c>
      <c r="E120" s="8">
        <v>56</v>
      </c>
      <c r="F120" s="8">
        <v>425</v>
      </c>
      <c r="G120" s="8">
        <v>1080</v>
      </c>
      <c r="H120" s="2" t="s">
        <v>27</v>
      </c>
      <c r="I120" s="2" t="s">
        <v>371</v>
      </c>
      <c r="J120" s="9">
        <v>25569.333865752316</v>
      </c>
    </row>
    <row x14ac:dyDescent="0.25" r="121" customHeight="1" ht="19.5">
      <c r="A121" s="2" t="s">
        <v>372</v>
      </c>
      <c r="B121" s="2" t="s">
        <v>373</v>
      </c>
      <c r="C121" s="2" t="s">
        <v>31</v>
      </c>
      <c r="D121" s="8">
        <v>422</v>
      </c>
      <c r="E121" s="8">
        <v>81</v>
      </c>
      <c r="F121" s="8">
        <v>558</v>
      </c>
      <c r="G121" s="8">
        <v>525</v>
      </c>
      <c r="H121" s="2" t="s">
        <v>27</v>
      </c>
      <c r="I121" s="2" t="s">
        <v>374</v>
      </c>
      <c r="J121" s="9">
        <v>25569.333865752316</v>
      </c>
    </row>
    <row x14ac:dyDescent="0.25" r="122" customHeight="1" ht="19.5">
      <c r="A122" s="2" t="s">
        <v>375</v>
      </c>
      <c r="B122" s="2" t="s">
        <v>376</v>
      </c>
      <c r="C122" s="2" t="s">
        <v>44</v>
      </c>
      <c r="D122" s="8">
        <v>241</v>
      </c>
      <c r="E122" s="8">
        <v>23</v>
      </c>
      <c r="F122" s="8">
        <v>563</v>
      </c>
      <c r="G122" s="8">
        <v>1185</v>
      </c>
      <c r="H122" s="2" t="s">
        <v>36</v>
      </c>
      <c r="I122" s="2" t="s">
        <v>377</v>
      </c>
      <c r="J122" s="9">
        <v>25569.333865752316</v>
      </c>
    </row>
    <row x14ac:dyDescent="0.25" r="123" customHeight="1" ht="19.5">
      <c r="A123" s="2" t="s">
        <v>378</v>
      </c>
      <c r="B123" s="2" t="s">
        <v>379</v>
      </c>
      <c r="C123" s="2" t="s">
        <v>31</v>
      </c>
      <c r="D123" s="8">
        <v>196</v>
      </c>
      <c r="E123" s="8">
        <v>86</v>
      </c>
      <c r="F123" s="8">
        <v>563</v>
      </c>
      <c r="G123" s="8">
        <v>1808</v>
      </c>
      <c r="H123" s="2" t="s">
        <v>27</v>
      </c>
      <c r="I123" s="2" t="s">
        <v>380</v>
      </c>
      <c r="J123" s="9">
        <v>25569.333865752316</v>
      </c>
    </row>
    <row x14ac:dyDescent="0.25" r="124" customHeight="1" ht="19.5">
      <c r="A124" s="2" t="s">
        <v>381</v>
      </c>
      <c r="B124" s="2" t="s">
        <v>382</v>
      </c>
      <c r="C124" s="2" t="s">
        <v>26</v>
      </c>
      <c r="D124" s="8">
        <v>249</v>
      </c>
      <c r="E124" s="8">
        <v>39</v>
      </c>
      <c r="F124" s="8">
        <v>282</v>
      </c>
      <c r="G124" s="8">
        <v>1313</v>
      </c>
      <c r="H124" s="2" t="s">
        <v>27</v>
      </c>
      <c r="I124" s="2" t="s">
        <v>383</v>
      </c>
      <c r="J124" s="9">
        <v>25569.333865752316</v>
      </c>
    </row>
    <row x14ac:dyDescent="0.25" r="125" customHeight="1" ht="19.5">
      <c r="A125" s="2" t="s">
        <v>384</v>
      </c>
      <c r="B125" s="2" t="s">
        <v>385</v>
      </c>
      <c r="C125" s="2" t="s">
        <v>54</v>
      </c>
      <c r="D125" s="8">
        <v>470</v>
      </c>
      <c r="E125" s="8">
        <v>26</v>
      </c>
      <c r="F125" s="8">
        <v>388</v>
      </c>
      <c r="G125" s="8">
        <v>504</v>
      </c>
      <c r="H125" s="2" t="s">
        <v>32</v>
      </c>
      <c r="I125" s="2" t="s">
        <v>386</v>
      </c>
      <c r="J125" s="9">
        <v>25569.333865752316</v>
      </c>
    </row>
    <row x14ac:dyDescent="0.25" r="126" customHeight="1" ht="19.5">
      <c r="A126" s="2" t="s">
        <v>387</v>
      </c>
      <c r="B126" s="2" t="s">
        <v>388</v>
      </c>
      <c r="C126" s="2" t="s">
        <v>26</v>
      </c>
      <c r="D126" s="8">
        <v>361</v>
      </c>
      <c r="E126" s="8">
        <v>38</v>
      </c>
      <c r="F126" s="8">
        <v>257</v>
      </c>
      <c r="G126" s="8">
        <v>570</v>
      </c>
      <c r="H126" s="2" t="s">
        <v>27</v>
      </c>
      <c r="I126" s="2" t="s">
        <v>345</v>
      </c>
      <c r="J126" s="9">
        <v>25569.333865752316</v>
      </c>
    </row>
    <row x14ac:dyDescent="0.25" r="127" customHeight="1" ht="19.5">
      <c r="A127" s="2" t="s">
        <v>389</v>
      </c>
      <c r="B127" s="2" t="s">
        <v>390</v>
      </c>
      <c r="C127" s="2" t="s">
        <v>26</v>
      </c>
      <c r="D127" s="8">
        <v>40</v>
      </c>
      <c r="E127" s="8">
        <v>67</v>
      </c>
      <c r="F127" s="8">
        <v>372</v>
      </c>
      <c r="G127" s="8">
        <v>283</v>
      </c>
      <c r="H127" s="2" t="s">
        <v>36</v>
      </c>
      <c r="I127" s="2" t="s">
        <v>391</v>
      </c>
      <c r="J127" s="9">
        <v>25569.333865752316</v>
      </c>
    </row>
    <row x14ac:dyDescent="0.25" r="128" customHeight="1" ht="19.5">
      <c r="A128" s="2" t="s">
        <v>392</v>
      </c>
      <c r="B128" s="2" t="s">
        <v>393</v>
      </c>
      <c r="C128" s="2" t="s">
        <v>31</v>
      </c>
      <c r="D128" s="8">
        <v>77</v>
      </c>
      <c r="E128" s="8">
        <v>44</v>
      </c>
      <c r="F128" s="8">
        <v>238</v>
      </c>
      <c r="G128" s="8">
        <v>168</v>
      </c>
      <c r="H128" s="2" t="s">
        <v>27</v>
      </c>
      <c r="I128" s="2" t="s">
        <v>91</v>
      </c>
      <c r="J128" s="9">
        <v>25569.333865752316</v>
      </c>
    </row>
    <row x14ac:dyDescent="0.25" r="129" customHeight="1" ht="19.5">
      <c r="A129" s="2" t="s">
        <v>394</v>
      </c>
      <c r="B129" s="2" t="s">
        <v>395</v>
      </c>
      <c r="C129" s="2" t="s">
        <v>54</v>
      </c>
      <c r="D129" s="8">
        <v>103</v>
      </c>
      <c r="E129" s="8">
        <v>93</v>
      </c>
      <c r="F129" s="8">
        <v>390</v>
      </c>
      <c r="G129" s="8">
        <v>373</v>
      </c>
      <c r="H129" s="2" t="s">
        <v>27</v>
      </c>
      <c r="I129" s="2" t="s">
        <v>396</v>
      </c>
      <c r="J129" s="9">
        <v>25569.333865752316</v>
      </c>
    </row>
    <row x14ac:dyDescent="0.25" r="130" customHeight="1" ht="19.5">
      <c r="A130" s="2" t="s">
        <v>397</v>
      </c>
      <c r="B130" s="2" t="s">
        <v>398</v>
      </c>
      <c r="C130" s="2" t="s">
        <v>54</v>
      </c>
      <c r="D130" s="8">
        <v>254</v>
      </c>
      <c r="E130" s="8">
        <v>47</v>
      </c>
      <c r="F130" s="8">
        <v>412</v>
      </c>
      <c r="G130" s="8">
        <v>1708</v>
      </c>
      <c r="H130" s="2" t="s">
        <v>27</v>
      </c>
      <c r="I130" s="2" t="s">
        <v>399</v>
      </c>
      <c r="J130" s="9">
        <v>25569.333865752316</v>
      </c>
    </row>
    <row x14ac:dyDescent="0.25" r="131" customHeight="1" ht="19.5">
      <c r="A131" s="2" t="s">
        <v>400</v>
      </c>
      <c r="B131" s="2" t="s">
        <v>401</v>
      </c>
      <c r="C131" s="2" t="s">
        <v>40</v>
      </c>
      <c r="D131" s="8">
        <v>239</v>
      </c>
      <c r="E131" s="8">
        <v>29</v>
      </c>
      <c r="F131" s="8">
        <v>538</v>
      </c>
      <c r="G131" s="8">
        <v>1871</v>
      </c>
      <c r="H131" s="2" t="s">
        <v>32</v>
      </c>
      <c r="I131" s="2" t="s">
        <v>319</v>
      </c>
      <c r="J131" s="9">
        <v>25569.333865752316</v>
      </c>
    </row>
    <row x14ac:dyDescent="0.25" r="132" customHeight="1" ht="19.5">
      <c r="A132" s="2" t="s">
        <v>402</v>
      </c>
      <c r="B132" s="2" t="s">
        <v>403</v>
      </c>
      <c r="C132" s="2" t="s">
        <v>54</v>
      </c>
      <c r="D132" s="8">
        <v>356</v>
      </c>
      <c r="E132" s="8">
        <v>94</v>
      </c>
      <c r="F132" s="8">
        <v>457</v>
      </c>
      <c r="G132" s="8">
        <v>765</v>
      </c>
      <c r="H132" s="2" t="s">
        <v>32</v>
      </c>
      <c r="I132" s="2" t="s">
        <v>404</v>
      </c>
      <c r="J132" s="9">
        <v>25569.333865752316</v>
      </c>
    </row>
    <row x14ac:dyDescent="0.25" r="133" customHeight="1" ht="19.5">
      <c r="A133" s="2" t="s">
        <v>405</v>
      </c>
      <c r="B133" s="2" t="s">
        <v>406</v>
      </c>
      <c r="C133" s="2" t="s">
        <v>54</v>
      </c>
      <c r="D133" s="8">
        <v>250</v>
      </c>
      <c r="E133" s="8">
        <v>59</v>
      </c>
      <c r="F133" s="8">
        <v>420</v>
      </c>
      <c r="G133" s="8">
        <v>428</v>
      </c>
      <c r="H133" s="2" t="s">
        <v>32</v>
      </c>
      <c r="I133" s="2" t="s">
        <v>239</v>
      </c>
      <c r="J133" s="9">
        <v>25569.333865752316</v>
      </c>
    </row>
    <row x14ac:dyDescent="0.25" r="134" customHeight="1" ht="19.5">
      <c r="A134" s="2" t="s">
        <v>407</v>
      </c>
      <c r="B134" s="2" t="s">
        <v>408</v>
      </c>
      <c r="C134" s="2" t="s">
        <v>26</v>
      </c>
      <c r="D134" s="8">
        <v>200</v>
      </c>
      <c r="E134" s="8">
        <v>21</v>
      </c>
      <c r="F134" s="8">
        <v>548</v>
      </c>
      <c r="G134" s="8">
        <v>274</v>
      </c>
      <c r="H134" s="2" t="s">
        <v>32</v>
      </c>
      <c r="I134" s="2" t="s">
        <v>409</v>
      </c>
      <c r="J134" s="9">
        <v>25569.333865752316</v>
      </c>
    </row>
    <row x14ac:dyDescent="0.25" r="135" customHeight="1" ht="19.5">
      <c r="A135" s="2" t="s">
        <v>410</v>
      </c>
      <c r="B135" s="2" t="s">
        <v>411</v>
      </c>
      <c r="C135" s="2" t="s">
        <v>26</v>
      </c>
      <c r="D135" s="8">
        <v>235</v>
      </c>
      <c r="E135" s="8">
        <v>74</v>
      </c>
      <c r="F135" s="8">
        <v>399</v>
      </c>
      <c r="G135" s="8">
        <v>1942</v>
      </c>
      <c r="H135" s="2" t="s">
        <v>32</v>
      </c>
      <c r="I135" s="2" t="s">
        <v>412</v>
      </c>
      <c r="J135" s="9">
        <v>25569.333865752316</v>
      </c>
    </row>
    <row x14ac:dyDescent="0.25" r="136" customHeight="1" ht="19.5">
      <c r="A136" s="2" t="s">
        <v>413</v>
      </c>
      <c r="B136" s="2" t="s">
        <v>414</v>
      </c>
      <c r="C136" s="2" t="s">
        <v>31</v>
      </c>
      <c r="D136" s="8">
        <v>352</v>
      </c>
      <c r="E136" s="8">
        <v>25</v>
      </c>
      <c r="F136" s="8">
        <v>435</v>
      </c>
      <c r="G136" s="8">
        <v>1200</v>
      </c>
      <c r="H136" s="2" t="s">
        <v>36</v>
      </c>
      <c r="I136" s="2" t="s">
        <v>415</v>
      </c>
      <c r="J136" s="9">
        <v>25569.333865752316</v>
      </c>
    </row>
    <row x14ac:dyDescent="0.25" r="137" customHeight="1" ht="19.5">
      <c r="A137" s="2" t="s">
        <v>416</v>
      </c>
      <c r="B137" s="2" t="s">
        <v>417</v>
      </c>
      <c r="C137" s="2" t="s">
        <v>54</v>
      </c>
      <c r="D137" s="8">
        <v>479</v>
      </c>
      <c r="E137" s="8">
        <v>46</v>
      </c>
      <c r="F137" s="8">
        <v>456</v>
      </c>
      <c r="G137" s="8">
        <v>284</v>
      </c>
      <c r="H137" s="2" t="s">
        <v>36</v>
      </c>
      <c r="I137" s="2" t="s">
        <v>383</v>
      </c>
      <c r="J137" s="9">
        <v>25569.333865752316</v>
      </c>
    </row>
    <row x14ac:dyDescent="0.25" r="138" customHeight="1" ht="19.5">
      <c r="A138" s="2" t="s">
        <v>418</v>
      </c>
      <c r="B138" s="2" t="s">
        <v>419</v>
      </c>
      <c r="C138" s="2" t="s">
        <v>44</v>
      </c>
      <c r="D138" s="8">
        <v>272</v>
      </c>
      <c r="E138" s="8">
        <v>27</v>
      </c>
      <c r="F138" s="8">
        <v>256</v>
      </c>
      <c r="G138" s="8">
        <v>347</v>
      </c>
      <c r="H138" s="2" t="s">
        <v>32</v>
      </c>
      <c r="I138" s="2" t="s">
        <v>383</v>
      </c>
      <c r="J138" s="9">
        <v>25569.333865752316</v>
      </c>
    </row>
    <row x14ac:dyDescent="0.25" r="139" customHeight="1" ht="19.5">
      <c r="A139" s="2" t="s">
        <v>420</v>
      </c>
      <c r="B139" s="2" t="s">
        <v>421</v>
      </c>
      <c r="C139" s="2" t="s">
        <v>40</v>
      </c>
      <c r="D139" s="8">
        <v>375</v>
      </c>
      <c r="E139" s="8">
        <v>54</v>
      </c>
      <c r="F139" s="8">
        <v>441</v>
      </c>
      <c r="G139" s="8">
        <v>1272</v>
      </c>
      <c r="H139" s="2" t="s">
        <v>27</v>
      </c>
      <c r="I139" s="2" t="s">
        <v>422</v>
      </c>
      <c r="J139" s="9">
        <v>25569.333865752316</v>
      </c>
    </row>
    <row x14ac:dyDescent="0.25" r="140" customHeight="1" ht="19.5">
      <c r="A140" s="2" t="s">
        <v>423</v>
      </c>
      <c r="B140" s="2" t="s">
        <v>424</v>
      </c>
      <c r="C140" s="2" t="s">
        <v>44</v>
      </c>
      <c r="D140" s="8">
        <v>309</v>
      </c>
      <c r="E140" s="8">
        <v>44</v>
      </c>
      <c r="F140" s="8">
        <v>522</v>
      </c>
      <c r="G140" s="8">
        <v>813</v>
      </c>
      <c r="H140" s="2" t="s">
        <v>32</v>
      </c>
      <c r="I140" s="2" t="s">
        <v>425</v>
      </c>
      <c r="J140" s="9">
        <v>25569.333865752316</v>
      </c>
    </row>
    <row x14ac:dyDescent="0.25" r="141" customHeight="1" ht="19.5">
      <c r="A141" s="2" t="s">
        <v>426</v>
      </c>
      <c r="B141" s="2" t="s">
        <v>427</v>
      </c>
      <c r="C141" s="2" t="s">
        <v>26</v>
      </c>
      <c r="D141" s="8">
        <v>301</v>
      </c>
      <c r="E141" s="8">
        <v>41</v>
      </c>
      <c r="F141" s="8">
        <v>338</v>
      </c>
      <c r="G141" s="8">
        <v>1761</v>
      </c>
      <c r="H141" s="2" t="s">
        <v>27</v>
      </c>
      <c r="I141" s="2" t="s">
        <v>428</v>
      </c>
      <c r="J141" s="9">
        <v>25569.333865752316</v>
      </c>
    </row>
    <row x14ac:dyDescent="0.25" r="142" customHeight="1" ht="19.5">
      <c r="A142" s="2" t="s">
        <v>429</v>
      </c>
      <c r="B142" s="2" t="s">
        <v>430</v>
      </c>
      <c r="C142" s="2" t="s">
        <v>54</v>
      </c>
      <c r="D142" s="8">
        <v>162</v>
      </c>
      <c r="E142" s="8">
        <v>68</v>
      </c>
      <c r="F142" s="8">
        <v>501</v>
      </c>
      <c r="G142" s="8">
        <v>87</v>
      </c>
      <c r="H142" s="2" t="s">
        <v>32</v>
      </c>
      <c r="I142" s="2" t="s">
        <v>431</v>
      </c>
      <c r="J142" s="9">
        <v>25569.333865752316</v>
      </c>
    </row>
    <row x14ac:dyDescent="0.25" r="143" customHeight="1" ht="19.5">
      <c r="A143" s="2" t="s">
        <v>432</v>
      </c>
      <c r="B143" s="2" t="s">
        <v>433</v>
      </c>
      <c r="C143" s="2" t="s">
        <v>44</v>
      </c>
      <c r="D143" s="8">
        <v>218</v>
      </c>
      <c r="E143" s="8">
        <v>59</v>
      </c>
      <c r="F143" s="8">
        <v>233</v>
      </c>
      <c r="G143" s="8">
        <v>1937</v>
      </c>
      <c r="H143" s="2" t="s">
        <v>27</v>
      </c>
      <c r="I143" s="2" t="s">
        <v>434</v>
      </c>
      <c r="J143" s="9">
        <v>25569.333865752316</v>
      </c>
    </row>
    <row x14ac:dyDescent="0.25" r="144" customHeight="1" ht="19.5">
      <c r="A144" s="2" t="s">
        <v>435</v>
      </c>
      <c r="B144" s="2" t="s">
        <v>436</v>
      </c>
      <c r="C144" s="2" t="s">
        <v>31</v>
      </c>
      <c r="D144" s="8">
        <v>382</v>
      </c>
      <c r="E144" s="8">
        <v>36</v>
      </c>
      <c r="F144" s="8">
        <v>360</v>
      </c>
      <c r="G144" s="8">
        <v>1760</v>
      </c>
      <c r="H144" s="2" t="s">
        <v>32</v>
      </c>
      <c r="I144" s="2" t="s">
        <v>242</v>
      </c>
      <c r="J144" s="9">
        <v>25569.333865752316</v>
      </c>
    </row>
    <row x14ac:dyDescent="0.25" r="145" customHeight="1" ht="19.5">
      <c r="A145" s="2" t="s">
        <v>437</v>
      </c>
      <c r="B145" s="2" t="s">
        <v>438</v>
      </c>
      <c r="C145" s="2" t="s">
        <v>31</v>
      </c>
      <c r="D145" s="8">
        <v>373</v>
      </c>
      <c r="E145" s="8">
        <v>99</v>
      </c>
      <c r="F145" s="8">
        <v>420</v>
      </c>
      <c r="G145" s="8">
        <v>1082</v>
      </c>
      <c r="H145" s="2" t="s">
        <v>36</v>
      </c>
      <c r="I145" s="2" t="s">
        <v>439</v>
      </c>
      <c r="J145" s="9">
        <v>25569.333865752316</v>
      </c>
    </row>
    <row x14ac:dyDescent="0.25" r="146" customHeight="1" ht="19.5">
      <c r="A146" s="2" t="s">
        <v>440</v>
      </c>
      <c r="B146" s="2" t="s">
        <v>441</v>
      </c>
      <c r="C146" s="2" t="s">
        <v>31</v>
      </c>
      <c r="D146" s="8">
        <v>112</v>
      </c>
      <c r="E146" s="8">
        <v>96</v>
      </c>
      <c r="F146" s="8">
        <v>385</v>
      </c>
      <c r="G146" s="8">
        <v>902</v>
      </c>
      <c r="H146" s="2" t="s">
        <v>36</v>
      </c>
      <c r="I146" s="2" t="s">
        <v>189</v>
      </c>
      <c r="J146" s="9">
        <v>25569.333865752316</v>
      </c>
    </row>
    <row x14ac:dyDescent="0.25" r="147" customHeight="1" ht="19.5">
      <c r="A147" s="2" t="s">
        <v>442</v>
      </c>
      <c r="B147" s="2" t="s">
        <v>443</v>
      </c>
      <c r="C147" s="2" t="s">
        <v>26</v>
      </c>
      <c r="D147" s="8">
        <v>261</v>
      </c>
      <c r="E147" s="8">
        <v>32</v>
      </c>
      <c r="F147" s="8">
        <v>264</v>
      </c>
      <c r="G147" s="8">
        <v>1349</v>
      </c>
      <c r="H147" s="2" t="s">
        <v>36</v>
      </c>
      <c r="I147" s="2" t="s">
        <v>262</v>
      </c>
      <c r="J147" s="9">
        <v>25569.333865752316</v>
      </c>
    </row>
    <row x14ac:dyDescent="0.25" r="148" customHeight="1" ht="19.5">
      <c r="A148" s="2" t="s">
        <v>444</v>
      </c>
      <c r="B148" s="2" t="s">
        <v>445</v>
      </c>
      <c r="C148" s="2" t="s">
        <v>26</v>
      </c>
      <c r="D148" s="8">
        <v>456</v>
      </c>
      <c r="E148" s="8">
        <v>86</v>
      </c>
      <c r="F148" s="8">
        <v>594</v>
      </c>
      <c r="G148" s="8">
        <v>1085</v>
      </c>
      <c r="H148" s="2" t="s">
        <v>32</v>
      </c>
      <c r="I148" s="2" t="s">
        <v>446</v>
      </c>
      <c r="J148" s="9">
        <v>25569.333865752316</v>
      </c>
    </row>
    <row x14ac:dyDescent="0.25" r="149" customHeight="1" ht="19.5">
      <c r="A149" s="2" t="s">
        <v>447</v>
      </c>
      <c r="B149" s="2" t="s">
        <v>448</v>
      </c>
      <c r="C149" s="2" t="s">
        <v>40</v>
      </c>
      <c r="D149" s="8">
        <v>176</v>
      </c>
      <c r="E149" s="8">
        <v>68</v>
      </c>
      <c r="F149" s="8">
        <v>416</v>
      </c>
      <c r="G149" s="8">
        <v>1084</v>
      </c>
      <c r="H149" s="2" t="s">
        <v>32</v>
      </c>
      <c r="I149" s="2" t="s">
        <v>37</v>
      </c>
      <c r="J149" s="9">
        <v>25569.333865752316</v>
      </c>
    </row>
    <row x14ac:dyDescent="0.25" r="150" customHeight="1" ht="19.5">
      <c r="A150" s="2" t="s">
        <v>449</v>
      </c>
      <c r="B150" s="2" t="s">
        <v>450</v>
      </c>
      <c r="C150" s="2" t="s">
        <v>31</v>
      </c>
      <c r="D150" s="8">
        <v>38</v>
      </c>
      <c r="E150" s="8">
        <v>72</v>
      </c>
      <c r="F150" s="8">
        <v>417</v>
      </c>
      <c r="G150" s="8">
        <v>1791</v>
      </c>
      <c r="H150" s="2" t="s">
        <v>27</v>
      </c>
      <c r="I150" s="2" t="s">
        <v>451</v>
      </c>
      <c r="J150" s="9">
        <v>25569.333865752316</v>
      </c>
    </row>
    <row x14ac:dyDescent="0.25" r="151" customHeight="1" ht="19.5">
      <c r="A151" s="2" t="s">
        <v>452</v>
      </c>
      <c r="B151" s="2" t="s">
        <v>453</v>
      </c>
      <c r="C151" s="2" t="s">
        <v>40</v>
      </c>
      <c r="D151" s="8">
        <v>55</v>
      </c>
      <c r="E151" s="8">
        <v>23</v>
      </c>
      <c r="F151" s="8">
        <v>452</v>
      </c>
      <c r="G151" s="8">
        <v>847</v>
      </c>
      <c r="H151" s="2" t="s">
        <v>27</v>
      </c>
      <c r="I151" s="2" t="s">
        <v>454</v>
      </c>
      <c r="J151" s="9">
        <v>25569.333865752316</v>
      </c>
    </row>
    <row x14ac:dyDescent="0.25" r="152" customHeight="1" ht="19.5">
      <c r="A152" s="2" t="s">
        <v>455</v>
      </c>
      <c r="B152" s="2" t="s">
        <v>456</v>
      </c>
      <c r="C152" s="2" t="s">
        <v>44</v>
      </c>
      <c r="D152" s="8">
        <v>179</v>
      </c>
      <c r="E152" s="8">
        <v>50</v>
      </c>
      <c r="F152" s="8">
        <v>557</v>
      </c>
      <c r="G152" s="8">
        <v>1308</v>
      </c>
      <c r="H152" s="2" t="s">
        <v>27</v>
      </c>
      <c r="I152" s="2" t="s">
        <v>457</v>
      </c>
      <c r="J152" s="9">
        <v>25569.333865752316</v>
      </c>
    </row>
    <row x14ac:dyDescent="0.25" r="153" customHeight="1" ht="19.5">
      <c r="A153" s="2" t="s">
        <v>458</v>
      </c>
      <c r="B153" s="2" t="s">
        <v>459</v>
      </c>
      <c r="C153" s="2" t="s">
        <v>31</v>
      </c>
      <c r="D153" s="8">
        <v>307</v>
      </c>
      <c r="E153" s="8">
        <v>99</v>
      </c>
      <c r="F153" s="8">
        <v>334</v>
      </c>
      <c r="G153" s="8">
        <v>71</v>
      </c>
      <c r="H153" s="2" t="s">
        <v>36</v>
      </c>
      <c r="I153" s="2" t="s">
        <v>460</v>
      </c>
      <c r="J153" s="9">
        <v>25569.333865752316</v>
      </c>
    </row>
    <row x14ac:dyDescent="0.25" r="154" customHeight="1" ht="19.5">
      <c r="A154" s="2" t="s">
        <v>461</v>
      </c>
      <c r="B154" s="2" t="s">
        <v>462</v>
      </c>
      <c r="C154" s="2" t="s">
        <v>54</v>
      </c>
      <c r="D154" s="8">
        <v>439</v>
      </c>
      <c r="E154" s="8">
        <v>77</v>
      </c>
      <c r="F154" s="8">
        <v>292</v>
      </c>
      <c r="G154" s="8">
        <v>241</v>
      </c>
      <c r="H154" s="2" t="s">
        <v>27</v>
      </c>
      <c r="I154" s="2" t="s">
        <v>33</v>
      </c>
      <c r="J154" s="9">
        <v>25569.333865752316</v>
      </c>
    </row>
    <row x14ac:dyDescent="0.25" r="155" customHeight="1" ht="19.5">
      <c r="A155" s="2" t="s">
        <v>463</v>
      </c>
      <c r="B155" s="2" t="s">
        <v>464</v>
      </c>
      <c r="C155" s="2" t="s">
        <v>31</v>
      </c>
      <c r="D155" s="8">
        <v>6</v>
      </c>
      <c r="E155" s="8">
        <v>74</v>
      </c>
      <c r="F155" s="8">
        <v>430</v>
      </c>
      <c r="G155" s="8">
        <v>923</v>
      </c>
      <c r="H155" s="2" t="s">
        <v>32</v>
      </c>
      <c r="I155" s="2" t="s">
        <v>465</v>
      </c>
      <c r="J155" s="9">
        <v>25569.333865752316</v>
      </c>
    </row>
    <row x14ac:dyDescent="0.25" r="156" customHeight="1" ht="19.5">
      <c r="A156" s="2" t="s">
        <v>466</v>
      </c>
      <c r="B156" s="2" t="s">
        <v>467</v>
      </c>
      <c r="C156" s="2" t="s">
        <v>26</v>
      </c>
      <c r="D156" s="8">
        <v>231</v>
      </c>
      <c r="E156" s="8">
        <v>92</v>
      </c>
      <c r="F156" s="8">
        <v>432</v>
      </c>
      <c r="G156" s="8">
        <v>403</v>
      </c>
      <c r="H156" s="2" t="s">
        <v>36</v>
      </c>
      <c r="I156" s="2" t="s">
        <v>468</v>
      </c>
      <c r="J156" s="9">
        <v>25569.333865752316</v>
      </c>
    </row>
    <row x14ac:dyDescent="0.25" r="157" customHeight="1" ht="19.5">
      <c r="A157" s="2" t="s">
        <v>469</v>
      </c>
      <c r="B157" s="2" t="s">
        <v>470</v>
      </c>
      <c r="C157" s="2" t="s">
        <v>44</v>
      </c>
      <c r="D157" s="8">
        <v>438</v>
      </c>
      <c r="E157" s="8">
        <v>55</v>
      </c>
      <c r="F157" s="8">
        <v>544</v>
      </c>
      <c r="G157" s="8">
        <v>713</v>
      </c>
      <c r="H157" s="2" t="s">
        <v>36</v>
      </c>
      <c r="I157" s="2" t="s">
        <v>236</v>
      </c>
      <c r="J157" s="9">
        <v>25569.333865752316</v>
      </c>
    </row>
    <row x14ac:dyDescent="0.25" r="158" customHeight="1" ht="19.5">
      <c r="A158" s="2" t="s">
        <v>471</v>
      </c>
      <c r="B158" s="2" t="s">
        <v>472</v>
      </c>
      <c r="C158" s="2" t="s">
        <v>26</v>
      </c>
      <c r="D158" s="8">
        <v>140</v>
      </c>
      <c r="E158" s="8">
        <v>50</v>
      </c>
      <c r="F158" s="8">
        <v>292</v>
      </c>
      <c r="G158" s="8">
        <v>675</v>
      </c>
      <c r="H158" s="2" t="s">
        <v>27</v>
      </c>
      <c r="I158" s="2" t="s">
        <v>41</v>
      </c>
      <c r="J158" s="9">
        <v>25569.333865752316</v>
      </c>
    </row>
    <row x14ac:dyDescent="0.25" r="159" customHeight="1" ht="19.5">
      <c r="A159" s="2" t="s">
        <v>473</v>
      </c>
      <c r="B159" s="2" t="s">
        <v>474</v>
      </c>
      <c r="C159" s="2" t="s">
        <v>40</v>
      </c>
      <c r="D159" s="8">
        <v>275</v>
      </c>
      <c r="E159" s="8">
        <v>61</v>
      </c>
      <c r="F159" s="8">
        <v>339</v>
      </c>
      <c r="G159" s="8">
        <v>406</v>
      </c>
      <c r="H159" s="2" t="s">
        <v>36</v>
      </c>
      <c r="I159" s="2" t="s">
        <v>271</v>
      </c>
      <c r="J159" s="9">
        <v>25569.333865752316</v>
      </c>
    </row>
    <row x14ac:dyDescent="0.25" r="160" customHeight="1" ht="19.5">
      <c r="A160" s="2" t="s">
        <v>475</v>
      </c>
      <c r="B160" s="2" t="s">
        <v>476</v>
      </c>
      <c r="C160" s="2" t="s">
        <v>54</v>
      </c>
      <c r="D160" s="8">
        <v>152</v>
      </c>
      <c r="E160" s="8">
        <v>96</v>
      </c>
      <c r="F160" s="8">
        <v>284</v>
      </c>
      <c r="G160" s="8">
        <v>670</v>
      </c>
      <c r="H160" s="2" t="s">
        <v>27</v>
      </c>
      <c r="I160" s="2" t="s">
        <v>477</v>
      </c>
      <c r="J160" s="9">
        <v>25569.333865752316</v>
      </c>
    </row>
    <row x14ac:dyDescent="0.25" r="161" customHeight="1" ht="19.5">
      <c r="A161" s="2" t="s">
        <v>478</v>
      </c>
      <c r="B161" s="2" t="s">
        <v>479</v>
      </c>
      <c r="C161" s="2" t="s">
        <v>44</v>
      </c>
      <c r="D161" s="8">
        <v>239</v>
      </c>
      <c r="E161" s="8">
        <v>73</v>
      </c>
      <c r="F161" s="8">
        <v>588</v>
      </c>
      <c r="G161" s="8">
        <v>1726</v>
      </c>
      <c r="H161" s="2" t="s">
        <v>27</v>
      </c>
      <c r="I161" s="2" t="s">
        <v>480</v>
      </c>
      <c r="J161" s="9">
        <v>25569.333865752316</v>
      </c>
    </row>
    <row x14ac:dyDescent="0.25" r="162" customHeight="1" ht="19.5">
      <c r="A162" s="2" t="s">
        <v>481</v>
      </c>
      <c r="B162" s="2" t="s">
        <v>482</v>
      </c>
      <c r="C162" s="2" t="s">
        <v>40</v>
      </c>
      <c r="D162" s="8">
        <v>370</v>
      </c>
      <c r="E162" s="8">
        <v>66</v>
      </c>
      <c r="F162" s="8">
        <v>526</v>
      </c>
      <c r="G162" s="8">
        <v>471</v>
      </c>
      <c r="H162" s="2" t="s">
        <v>27</v>
      </c>
      <c r="I162" s="2" t="s">
        <v>483</v>
      </c>
      <c r="J162" s="9">
        <v>25569.333865752316</v>
      </c>
    </row>
    <row x14ac:dyDescent="0.25" r="163" customHeight="1" ht="19.5">
      <c r="A163" s="2" t="s">
        <v>484</v>
      </c>
      <c r="B163" s="2" t="s">
        <v>485</v>
      </c>
      <c r="C163" s="2" t="s">
        <v>44</v>
      </c>
      <c r="D163" s="8">
        <v>166</v>
      </c>
      <c r="E163" s="8">
        <v>56</v>
      </c>
      <c r="F163" s="8">
        <v>318</v>
      </c>
      <c r="G163" s="8">
        <v>1059</v>
      </c>
      <c r="H163" s="2" t="s">
        <v>32</v>
      </c>
      <c r="I163" s="2" t="s">
        <v>486</v>
      </c>
      <c r="J163" s="9">
        <v>25569.333865752316</v>
      </c>
    </row>
    <row x14ac:dyDescent="0.25" r="164" customHeight="1" ht="19.5">
      <c r="A164" s="2" t="s">
        <v>487</v>
      </c>
      <c r="B164" s="2" t="s">
        <v>488</v>
      </c>
      <c r="C164" s="2" t="s">
        <v>40</v>
      </c>
      <c r="D164" s="8">
        <v>51</v>
      </c>
      <c r="E164" s="8">
        <v>52</v>
      </c>
      <c r="F164" s="8">
        <v>536</v>
      </c>
      <c r="G164" s="8">
        <v>859</v>
      </c>
      <c r="H164" s="2" t="s">
        <v>32</v>
      </c>
      <c r="I164" s="2" t="s">
        <v>489</v>
      </c>
      <c r="J164" s="9">
        <v>25569.333865752316</v>
      </c>
    </row>
    <row x14ac:dyDescent="0.25" r="165" customHeight="1" ht="19.5">
      <c r="A165" s="2" t="s">
        <v>490</v>
      </c>
      <c r="B165" s="2" t="s">
        <v>491</v>
      </c>
      <c r="C165" s="2" t="s">
        <v>54</v>
      </c>
      <c r="D165" s="8">
        <v>239</v>
      </c>
      <c r="E165" s="8">
        <v>27</v>
      </c>
      <c r="F165" s="8">
        <v>561</v>
      </c>
      <c r="G165" s="8">
        <v>1454</v>
      </c>
      <c r="H165" s="2" t="s">
        <v>36</v>
      </c>
      <c r="I165" s="2" t="s">
        <v>492</v>
      </c>
      <c r="J165" s="9">
        <v>25569.333865752316</v>
      </c>
    </row>
    <row x14ac:dyDescent="0.25" r="166" customHeight="1" ht="19.5">
      <c r="A166" s="2" t="s">
        <v>493</v>
      </c>
      <c r="B166" s="2" t="s">
        <v>494</v>
      </c>
      <c r="C166" s="2" t="s">
        <v>54</v>
      </c>
      <c r="D166" s="8">
        <v>253</v>
      </c>
      <c r="E166" s="8">
        <v>39</v>
      </c>
      <c r="F166" s="8">
        <v>215</v>
      </c>
      <c r="G166" s="8">
        <v>1218</v>
      </c>
      <c r="H166" s="2" t="s">
        <v>27</v>
      </c>
      <c r="I166" s="2" t="s">
        <v>495</v>
      </c>
      <c r="J166" s="9">
        <v>25569.333865752316</v>
      </c>
    </row>
    <row x14ac:dyDescent="0.25" r="167" customHeight="1" ht="19.5">
      <c r="A167" s="2" t="s">
        <v>496</v>
      </c>
      <c r="B167" s="2" t="s">
        <v>497</v>
      </c>
      <c r="C167" s="2" t="s">
        <v>44</v>
      </c>
      <c r="D167" s="8">
        <v>348</v>
      </c>
      <c r="E167" s="8">
        <v>50</v>
      </c>
      <c r="F167" s="8">
        <v>499</v>
      </c>
      <c r="G167" s="8">
        <v>1517</v>
      </c>
      <c r="H167" s="2" t="s">
        <v>27</v>
      </c>
      <c r="I167" s="2" t="s">
        <v>498</v>
      </c>
      <c r="J167" s="9">
        <v>25569.333865752316</v>
      </c>
    </row>
    <row x14ac:dyDescent="0.25" r="168" customHeight="1" ht="19.5">
      <c r="A168" s="2" t="s">
        <v>499</v>
      </c>
      <c r="B168" s="2" t="s">
        <v>500</v>
      </c>
      <c r="C168" s="2" t="s">
        <v>40</v>
      </c>
      <c r="D168" s="8">
        <v>78</v>
      </c>
      <c r="E168" s="8">
        <v>92</v>
      </c>
      <c r="F168" s="8">
        <v>375</v>
      </c>
      <c r="G168" s="8">
        <v>445</v>
      </c>
      <c r="H168" s="2" t="s">
        <v>36</v>
      </c>
      <c r="I168" s="2" t="s">
        <v>404</v>
      </c>
      <c r="J168" s="9">
        <v>25569.333865752316</v>
      </c>
    </row>
    <row x14ac:dyDescent="0.25" r="169" customHeight="1" ht="19.5">
      <c r="A169" s="2" t="s">
        <v>501</v>
      </c>
      <c r="B169" s="2" t="s">
        <v>502</v>
      </c>
      <c r="C169" s="2" t="s">
        <v>26</v>
      </c>
      <c r="D169" s="8">
        <v>462</v>
      </c>
      <c r="E169" s="8">
        <v>25</v>
      </c>
      <c r="F169" s="8">
        <v>321</v>
      </c>
      <c r="G169" s="8">
        <v>285</v>
      </c>
      <c r="H169" s="2" t="s">
        <v>27</v>
      </c>
      <c r="I169" s="2" t="s">
        <v>503</v>
      </c>
      <c r="J169" s="9">
        <v>25569.333865752316</v>
      </c>
    </row>
    <row x14ac:dyDescent="0.25" r="170" customHeight="1" ht="19.5">
      <c r="A170" s="2" t="s">
        <v>504</v>
      </c>
      <c r="B170" s="2" t="s">
        <v>505</v>
      </c>
      <c r="C170" s="2" t="s">
        <v>31</v>
      </c>
      <c r="D170" s="8">
        <v>162</v>
      </c>
      <c r="E170" s="8">
        <v>73</v>
      </c>
      <c r="F170" s="8">
        <v>448</v>
      </c>
      <c r="G170" s="8">
        <v>1391</v>
      </c>
      <c r="H170" s="2" t="s">
        <v>36</v>
      </c>
      <c r="I170" s="2" t="s">
        <v>506</v>
      </c>
      <c r="J170" s="9">
        <v>25569.333865752316</v>
      </c>
    </row>
    <row x14ac:dyDescent="0.25" r="171" customHeight="1" ht="19.5">
      <c r="A171" s="2" t="s">
        <v>507</v>
      </c>
      <c r="B171" s="2" t="s">
        <v>508</v>
      </c>
      <c r="C171" s="2" t="s">
        <v>26</v>
      </c>
      <c r="D171" s="8">
        <v>143</v>
      </c>
      <c r="E171" s="8">
        <v>27</v>
      </c>
      <c r="F171" s="8">
        <v>544</v>
      </c>
      <c r="G171" s="8">
        <v>145</v>
      </c>
      <c r="H171" s="2" t="s">
        <v>32</v>
      </c>
      <c r="I171" s="2" t="s">
        <v>259</v>
      </c>
      <c r="J171" s="9">
        <v>25569.333865752316</v>
      </c>
    </row>
    <row x14ac:dyDescent="0.25" r="172" customHeight="1" ht="19.5">
      <c r="A172" s="2" t="s">
        <v>509</v>
      </c>
      <c r="B172" s="2" t="s">
        <v>510</v>
      </c>
      <c r="C172" s="2" t="s">
        <v>26</v>
      </c>
      <c r="D172" s="8">
        <v>243</v>
      </c>
      <c r="E172" s="8">
        <v>50</v>
      </c>
      <c r="F172" s="8">
        <v>593</v>
      </c>
      <c r="G172" s="8">
        <v>745</v>
      </c>
      <c r="H172" s="2" t="s">
        <v>36</v>
      </c>
      <c r="I172" s="2" t="s">
        <v>511</v>
      </c>
      <c r="J172" s="9">
        <v>25569.333865752316</v>
      </c>
    </row>
    <row x14ac:dyDescent="0.25" r="173" customHeight="1" ht="19.5">
      <c r="A173" s="2" t="s">
        <v>512</v>
      </c>
      <c r="B173" s="2" t="s">
        <v>513</v>
      </c>
      <c r="C173" s="2" t="s">
        <v>31</v>
      </c>
      <c r="D173" s="8">
        <v>91</v>
      </c>
      <c r="E173" s="8">
        <v>89</v>
      </c>
      <c r="F173" s="8">
        <v>332</v>
      </c>
      <c r="G173" s="8">
        <v>840</v>
      </c>
      <c r="H173" s="2" t="s">
        <v>36</v>
      </c>
      <c r="I173" s="2" t="s">
        <v>514</v>
      </c>
      <c r="J173" s="9">
        <v>25569.333865752316</v>
      </c>
    </row>
    <row x14ac:dyDescent="0.25" r="174" customHeight="1" ht="19.5">
      <c r="A174" s="2" t="s">
        <v>515</v>
      </c>
      <c r="B174" s="2" t="s">
        <v>516</v>
      </c>
      <c r="C174" s="2" t="s">
        <v>26</v>
      </c>
      <c r="D174" s="8">
        <v>186</v>
      </c>
      <c r="E174" s="8">
        <v>99</v>
      </c>
      <c r="F174" s="8">
        <v>245</v>
      </c>
      <c r="G174" s="8">
        <v>1863</v>
      </c>
      <c r="H174" s="2" t="s">
        <v>27</v>
      </c>
      <c r="I174" s="2" t="s">
        <v>517</v>
      </c>
      <c r="J174" s="9">
        <v>25569.333865752316</v>
      </c>
    </row>
    <row x14ac:dyDescent="0.25" r="175" customHeight="1" ht="19.5">
      <c r="A175" s="2" t="s">
        <v>518</v>
      </c>
      <c r="B175" s="2" t="s">
        <v>519</v>
      </c>
      <c r="C175" s="2" t="s">
        <v>31</v>
      </c>
      <c r="D175" s="8">
        <v>178</v>
      </c>
      <c r="E175" s="8">
        <v>97</v>
      </c>
      <c r="F175" s="8">
        <v>238</v>
      </c>
      <c r="G175" s="8">
        <v>1366</v>
      </c>
      <c r="H175" s="2" t="s">
        <v>32</v>
      </c>
      <c r="I175" s="2" t="s">
        <v>520</v>
      </c>
      <c r="J175" s="9">
        <v>25569.333865752316</v>
      </c>
    </row>
    <row x14ac:dyDescent="0.25" r="176" customHeight="1" ht="19.5">
      <c r="A176" s="2" t="s">
        <v>521</v>
      </c>
      <c r="B176" s="2" t="s">
        <v>522</v>
      </c>
      <c r="C176" s="2" t="s">
        <v>26</v>
      </c>
      <c r="D176" s="8">
        <v>330</v>
      </c>
      <c r="E176" s="8">
        <v>52</v>
      </c>
      <c r="F176" s="8">
        <v>486</v>
      </c>
      <c r="G176" s="8">
        <v>1708</v>
      </c>
      <c r="H176" s="2" t="s">
        <v>32</v>
      </c>
      <c r="I176" s="2" t="s">
        <v>523</v>
      </c>
      <c r="J176" s="9">
        <v>25569.333865752316</v>
      </c>
    </row>
    <row x14ac:dyDescent="0.25" r="177" customHeight="1" ht="19.5">
      <c r="A177" s="2" t="s">
        <v>524</v>
      </c>
      <c r="B177" s="2" t="s">
        <v>525</v>
      </c>
      <c r="C177" s="2" t="s">
        <v>31</v>
      </c>
      <c r="D177" s="8">
        <v>33</v>
      </c>
      <c r="E177" s="8">
        <v>90</v>
      </c>
      <c r="F177" s="8">
        <v>577</v>
      </c>
      <c r="G177" s="8">
        <v>162</v>
      </c>
      <c r="H177" s="2" t="s">
        <v>32</v>
      </c>
      <c r="I177" s="2" t="s">
        <v>526</v>
      </c>
      <c r="J177" s="9">
        <v>25569.333865752316</v>
      </c>
    </row>
    <row x14ac:dyDescent="0.25" r="178" customHeight="1" ht="19.5">
      <c r="A178" s="2" t="s">
        <v>527</v>
      </c>
      <c r="B178" s="2" t="s">
        <v>528</v>
      </c>
      <c r="C178" s="2" t="s">
        <v>40</v>
      </c>
      <c r="D178" s="8">
        <v>188</v>
      </c>
      <c r="E178" s="8">
        <v>22</v>
      </c>
      <c r="F178" s="8">
        <v>411</v>
      </c>
      <c r="G178" s="8">
        <v>1491</v>
      </c>
      <c r="H178" s="2" t="s">
        <v>36</v>
      </c>
      <c r="I178" s="2" t="s">
        <v>529</v>
      </c>
      <c r="J178" s="9">
        <v>25569.333865752316</v>
      </c>
    </row>
    <row x14ac:dyDescent="0.25" r="179" customHeight="1" ht="19.5">
      <c r="A179" s="2" t="s">
        <v>530</v>
      </c>
      <c r="B179" s="2" t="s">
        <v>531</v>
      </c>
      <c r="C179" s="2" t="s">
        <v>31</v>
      </c>
      <c r="D179" s="8">
        <v>127</v>
      </c>
      <c r="E179" s="8">
        <v>49</v>
      </c>
      <c r="F179" s="8">
        <v>472</v>
      </c>
      <c r="G179" s="8">
        <v>876</v>
      </c>
      <c r="H179" s="2" t="s">
        <v>32</v>
      </c>
      <c r="I179" s="2" t="s">
        <v>532</v>
      </c>
      <c r="J179" s="9">
        <v>25569.333865752316</v>
      </c>
    </row>
    <row x14ac:dyDescent="0.25" r="180" customHeight="1" ht="19.5">
      <c r="A180" s="2" t="s">
        <v>533</v>
      </c>
      <c r="B180" s="2" t="s">
        <v>534</v>
      </c>
      <c r="C180" s="2" t="s">
        <v>54</v>
      </c>
      <c r="D180" s="8">
        <v>339</v>
      </c>
      <c r="E180" s="8">
        <v>37</v>
      </c>
      <c r="F180" s="8">
        <v>244</v>
      </c>
      <c r="G180" s="8">
        <v>1181</v>
      </c>
      <c r="H180" s="2" t="s">
        <v>27</v>
      </c>
      <c r="I180" s="2" t="s">
        <v>535</v>
      </c>
      <c r="J180" s="9">
        <v>25569.333865752316</v>
      </c>
    </row>
    <row x14ac:dyDescent="0.25" r="181" customHeight="1" ht="19.5">
      <c r="A181" s="2" t="s">
        <v>536</v>
      </c>
      <c r="B181" s="2" t="s">
        <v>537</v>
      </c>
      <c r="C181" s="2" t="s">
        <v>54</v>
      </c>
      <c r="D181" s="8">
        <v>317</v>
      </c>
      <c r="E181" s="8">
        <v>78</v>
      </c>
      <c r="F181" s="8">
        <v>376</v>
      </c>
      <c r="G181" s="8">
        <v>277</v>
      </c>
      <c r="H181" s="2" t="s">
        <v>27</v>
      </c>
      <c r="I181" s="2" t="s">
        <v>64</v>
      </c>
      <c r="J181" s="9">
        <v>25569.333865752316</v>
      </c>
    </row>
    <row x14ac:dyDescent="0.25" r="182" customHeight="1" ht="19.5">
      <c r="A182" s="2" t="s">
        <v>538</v>
      </c>
      <c r="B182" s="2" t="s">
        <v>539</v>
      </c>
      <c r="C182" s="2" t="s">
        <v>26</v>
      </c>
      <c r="D182" s="8">
        <v>266</v>
      </c>
      <c r="E182" s="8">
        <v>89</v>
      </c>
      <c r="F182" s="8">
        <v>578</v>
      </c>
      <c r="G182" s="8">
        <v>538</v>
      </c>
      <c r="H182" s="2" t="s">
        <v>32</v>
      </c>
      <c r="I182" s="2" t="s">
        <v>540</v>
      </c>
      <c r="J182" s="9">
        <v>25569.333865752316</v>
      </c>
    </row>
    <row x14ac:dyDescent="0.25" r="183" customHeight="1" ht="19.5">
      <c r="A183" s="2" t="s">
        <v>541</v>
      </c>
      <c r="B183" s="2" t="s">
        <v>542</v>
      </c>
      <c r="C183" s="2" t="s">
        <v>26</v>
      </c>
      <c r="D183" s="8">
        <v>483</v>
      </c>
      <c r="E183" s="8">
        <v>36</v>
      </c>
      <c r="F183" s="8">
        <v>431</v>
      </c>
      <c r="G183" s="8">
        <v>921</v>
      </c>
      <c r="H183" s="2" t="s">
        <v>32</v>
      </c>
      <c r="I183" s="2" t="s">
        <v>242</v>
      </c>
      <c r="J183" s="9">
        <v>25569.333865752316</v>
      </c>
    </row>
    <row x14ac:dyDescent="0.25" r="184" customHeight="1" ht="19.5">
      <c r="A184" s="2" t="s">
        <v>543</v>
      </c>
      <c r="B184" s="2" t="s">
        <v>544</v>
      </c>
      <c r="C184" s="2" t="s">
        <v>31</v>
      </c>
      <c r="D184" s="8">
        <v>212</v>
      </c>
      <c r="E184" s="8">
        <v>59</v>
      </c>
      <c r="F184" s="8">
        <v>474</v>
      </c>
      <c r="G184" s="8">
        <v>372</v>
      </c>
      <c r="H184" s="2" t="s">
        <v>32</v>
      </c>
      <c r="I184" s="2" t="s">
        <v>545</v>
      </c>
      <c r="J184" s="9">
        <v>25569.333865752316</v>
      </c>
    </row>
    <row x14ac:dyDescent="0.25" r="185" customHeight="1" ht="19.5">
      <c r="A185" s="2" t="s">
        <v>546</v>
      </c>
      <c r="B185" s="2" t="s">
        <v>547</v>
      </c>
      <c r="C185" s="2" t="s">
        <v>44</v>
      </c>
      <c r="D185" s="8">
        <v>498</v>
      </c>
      <c r="E185" s="8">
        <v>83</v>
      </c>
      <c r="F185" s="8">
        <v>282</v>
      </c>
      <c r="G185" s="8">
        <v>352</v>
      </c>
      <c r="H185" s="2" t="s">
        <v>32</v>
      </c>
      <c r="I185" s="2" t="s">
        <v>548</v>
      </c>
      <c r="J185" s="9">
        <v>25569.333865752316</v>
      </c>
    </row>
    <row x14ac:dyDescent="0.25" r="186" customHeight="1" ht="19.5">
      <c r="A186" s="2" t="s">
        <v>549</v>
      </c>
      <c r="B186" s="2" t="s">
        <v>550</v>
      </c>
      <c r="C186" s="2" t="s">
        <v>26</v>
      </c>
      <c r="D186" s="8">
        <v>179</v>
      </c>
      <c r="E186" s="8">
        <v>67</v>
      </c>
      <c r="F186" s="8">
        <v>370</v>
      </c>
      <c r="G186" s="8">
        <v>1368</v>
      </c>
      <c r="H186" s="2" t="s">
        <v>36</v>
      </c>
      <c r="I186" s="2" t="s">
        <v>551</v>
      </c>
      <c r="J186" s="9">
        <v>25569.333865752316</v>
      </c>
    </row>
    <row x14ac:dyDescent="0.25" r="187" customHeight="1" ht="19.5">
      <c r="A187" s="2" t="s">
        <v>552</v>
      </c>
      <c r="B187" s="2" t="s">
        <v>553</v>
      </c>
      <c r="C187" s="2" t="s">
        <v>40</v>
      </c>
      <c r="D187" s="8">
        <v>395</v>
      </c>
      <c r="E187" s="8">
        <v>29</v>
      </c>
      <c r="F187" s="8">
        <v>526</v>
      </c>
      <c r="G187" s="8">
        <v>927</v>
      </c>
      <c r="H187" s="2" t="s">
        <v>27</v>
      </c>
      <c r="I187" s="2" t="s">
        <v>554</v>
      </c>
      <c r="J187" s="9">
        <v>25569.333865752316</v>
      </c>
    </row>
    <row x14ac:dyDescent="0.25" r="188" customHeight="1" ht="19.5">
      <c r="A188" s="2" t="s">
        <v>555</v>
      </c>
      <c r="B188" s="2" t="s">
        <v>556</v>
      </c>
      <c r="C188" s="2" t="s">
        <v>40</v>
      </c>
      <c r="D188" s="8">
        <v>48</v>
      </c>
      <c r="E188" s="8">
        <v>55</v>
      </c>
      <c r="F188" s="8">
        <v>476</v>
      </c>
      <c r="G188" s="8">
        <v>342</v>
      </c>
      <c r="H188" s="2" t="s">
        <v>27</v>
      </c>
      <c r="I188" s="2" t="s">
        <v>514</v>
      </c>
      <c r="J188" s="9">
        <v>25569.333865752316</v>
      </c>
    </row>
    <row x14ac:dyDescent="0.25" r="189" customHeight="1" ht="19.5">
      <c r="A189" s="2" t="s">
        <v>557</v>
      </c>
      <c r="B189" s="2" t="s">
        <v>558</v>
      </c>
      <c r="C189" s="2" t="s">
        <v>40</v>
      </c>
      <c r="D189" s="8">
        <v>390</v>
      </c>
      <c r="E189" s="8">
        <v>90</v>
      </c>
      <c r="F189" s="8">
        <v>424</v>
      </c>
      <c r="G189" s="8">
        <v>1016</v>
      </c>
      <c r="H189" s="2" t="s">
        <v>32</v>
      </c>
      <c r="I189" s="2" t="s">
        <v>559</v>
      </c>
      <c r="J189" s="9">
        <v>25569.333865752316</v>
      </c>
    </row>
    <row x14ac:dyDescent="0.25" r="190" customHeight="1" ht="19.5">
      <c r="A190" s="2" t="s">
        <v>560</v>
      </c>
      <c r="B190" s="2" t="s">
        <v>561</v>
      </c>
      <c r="C190" s="2" t="s">
        <v>54</v>
      </c>
      <c r="D190" s="8">
        <v>328</v>
      </c>
      <c r="E190" s="8">
        <v>31</v>
      </c>
      <c r="F190" s="8">
        <v>234</v>
      </c>
      <c r="G190" s="8">
        <v>496</v>
      </c>
      <c r="H190" s="2" t="s">
        <v>36</v>
      </c>
      <c r="I190" s="2" t="s">
        <v>562</v>
      </c>
      <c r="J190" s="9">
        <v>25569.333865752316</v>
      </c>
    </row>
    <row x14ac:dyDescent="0.25" r="191" customHeight="1" ht="19.5">
      <c r="A191" s="2" t="s">
        <v>563</v>
      </c>
      <c r="B191" s="2" t="s">
        <v>564</v>
      </c>
      <c r="C191" s="2" t="s">
        <v>44</v>
      </c>
      <c r="D191" s="8">
        <v>22</v>
      </c>
      <c r="E191" s="8">
        <v>58</v>
      </c>
      <c r="F191" s="8">
        <v>543</v>
      </c>
      <c r="G191" s="8">
        <v>1153</v>
      </c>
      <c r="H191" s="2" t="s">
        <v>36</v>
      </c>
      <c r="I191" s="2" t="s">
        <v>565</v>
      </c>
      <c r="J191" s="9">
        <v>25569.333865752316</v>
      </c>
    </row>
    <row x14ac:dyDescent="0.25" r="192" customHeight="1" ht="19.5">
      <c r="A192" s="2" t="s">
        <v>566</v>
      </c>
      <c r="B192" s="2" t="s">
        <v>567</v>
      </c>
      <c r="C192" s="2" t="s">
        <v>31</v>
      </c>
      <c r="D192" s="8">
        <v>289</v>
      </c>
      <c r="E192" s="8">
        <v>90</v>
      </c>
      <c r="F192" s="8">
        <v>530</v>
      </c>
      <c r="G192" s="8">
        <v>1744</v>
      </c>
      <c r="H192" s="2" t="s">
        <v>36</v>
      </c>
      <c r="I192" s="2" t="s">
        <v>568</v>
      </c>
      <c r="J192" s="9">
        <v>25569.333865752316</v>
      </c>
    </row>
    <row x14ac:dyDescent="0.25" r="193" customHeight="1" ht="19.5">
      <c r="A193" s="2" t="s">
        <v>569</v>
      </c>
      <c r="B193" s="2" t="s">
        <v>570</v>
      </c>
      <c r="C193" s="2" t="s">
        <v>44</v>
      </c>
      <c r="D193" s="8">
        <v>30</v>
      </c>
      <c r="E193" s="8">
        <v>21</v>
      </c>
      <c r="F193" s="8">
        <v>558</v>
      </c>
      <c r="G193" s="8">
        <v>576</v>
      </c>
      <c r="H193" s="2" t="s">
        <v>36</v>
      </c>
      <c r="I193" s="2" t="s">
        <v>571</v>
      </c>
      <c r="J193" s="9">
        <v>25569.333865752316</v>
      </c>
    </row>
    <row x14ac:dyDescent="0.25" r="194" customHeight="1" ht="19.5">
      <c r="A194" s="2" t="s">
        <v>572</v>
      </c>
      <c r="B194" s="2" t="s">
        <v>573</v>
      </c>
      <c r="C194" s="2" t="s">
        <v>54</v>
      </c>
      <c r="D194" s="8">
        <v>33</v>
      </c>
      <c r="E194" s="8">
        <v>87</v>
      </c>
      <c r="F194" s="8">
        <v>530</v>
      </c>
      <c r="G194" s="8">
        <v>78</v>
      </c>
      <c r="H194" s="2" t="s">
        <v>32</v>
      </c>
      <c r="I194" s="2" t="s">
        <v>88</v>
      </c>
      <c r="J194" s="9">
        <v>25569.333865752316</v>
      </c>
    </row>
    <row x14ac:dyDescent="0.25" r="195" customHeight="1" ht="19.5">
      <c r="A195" s="2" t="s">
        <v>574</v>
      </c>
      <c r="B195" s="2" t="s">
        <v>575</v>
      </c>
      <c r="C195" s="2" t="s">
        <v>44</v>
      </c>
      <c r="D195" s="8">
        <v>15</v>
      </c>
      <c r="E195" s="8">
        <v>58</v>
      </c>
      <c r="F195" s="8">
        <v>276</v>
      </c>
      <c r="G195" s="8">
        <v>854</v>
      </c>
      <c r="H195" s="2" t="s">
        <v>36</v>
      </c>
      <c r="I195" s="2" t="s">
        <v>576</v>
      </c>
      <c r="J195" s="9">
        <v>25569.333865752316</v>
      </c>
    </row>
    <row x14ac:dyDescent="0.25" r="196" customHeight="1" ht="19.5">
      <c r="A196" s="2" t="s">
        <v>577</v>
      </c>
      <c r="B196" s="2" t="s">
        <v>578</v>
      </c>
      <c r="C196" s="2" t="s">
        <v>44</v>
      </c>
      <c r="D196" s="8">
        <v>427</v>
      </c>
      <c r="E196" s="8">
        <v>38</v>
      </c>
      <c r="F196" s="8">
        <v>301</v>
      </c>
      <c r="G196" s="8">
        <v>1977</v>
      </c>
      <c r="H196" s="2" t="s">
        <v>36</v>
      </c>
      <c r="I196" s="2" t="s">
        <v>579</v>
      </c>
      <c r="J196" s="9">
        <v>25569.333865752316</v>
      </c>
    </row>
    <row x14ac:dyDescent="0.25" r="197" customHeight="1" ht="19.5">
      <c r="A197" s="2" t="s">
        <v>580</v>
      </c>
      <c r="B197" s="2" t="s">
        <v>581</v>
      </c>
      <c r="C197" s="2" t="s">
        <v>44</v>
      </c>
      <c r="D197" s="8">
        <v>449</v>
      </c>
      <c r="E197" s="8">
        <v>60</v>
      </c>
      <c r="F197" s="8">
        <v>402</v>
      </c>
      <c r="G197" s="8">
        <v>1033</v>
      </c>
      <c r="H197" s="2" t="s">
        <v>32</v>
      </c>
      <c r="I197" s="2" t="s">
        <v>582</v>
      </c>
      <c r="J197" s="9">
        <v>25569.333865752316</v>
      </c>
    </row>
    <row x14ac:dyDescent="0.25" r="198" customHeight="1" ht="19.5">
      <c r="A198" s="2" t="s">
        <v>583</v>
      </c>
      <c r="B198" s="2" t="s">
        <v>584</v>
      </c>
      <c r="C198" s="2" t="s">
        <v>44</v>
      </c>
      <c r="D198" s="8">
        <v>25</v>
      </c>
      <c r="E198" s="8">
        <v>90</v>
      </c>
      <c r="F198" s="8">
        <v>302</v>
      </c>
      <c r="G198" s="8">
        <v>375</v>
      </c>
      <c r="H198" s="2" t="s">
        <v>27</v>
      </c>
      <c r="I198" s="2" t="s">
        <v>155</v>
      </c>
      <c r="J198" s="9">
        <v>25569.333865752316</v>
      </c>
    </row>
    <row x14ac:dyDescent="0.25" r="199" customHeight="1" ht="19.5">
      <c r="A199" s="2" t="s">
        <v>585</v>
      </c>
      <c r="B199" s="2" t="s">
        <v>586</v>
      </c>
      <c r="C199" s="2" t="s">
        <v>44</v>
      </c>
      <c r="D199" s="8">
        <v>362</v>
      </c>
      <c r="E199" s="8">
        <v>85</v>
      </c>
      <c r="F199" s="8">
        <v>474</v>
      </c>
      <c r="G199" s="8">
        <v>373</v>
      </c>
      <c r="H199" s="2" t="s">
        <v>32</v>
      </c>
      <c r="I199" s="2" t="s">
        <v>454</v>
      </c>
      <c r="J199" s="9">
        <v>25569.333865752316</v>
      </c>
    </row>
    <row x14ac:dyDescent="0.25" r="200" customHeight="1" ht="19.5">
      <c r="A200" s="2" t="s">
        <v>587</v>
      </c>
      <c r="B200" s="2" t="s">
        <v>588</v>
      </c>
      <c r="C200" s="2" t="s">
        <v>40</v>
      </c>
      <c r="D200" s="8">
        <v>312</v>
      </c>
      <c r="E200" s="8">
        <v>56</v>
      </c>
      <c r="F200" s="8">
        <v>260</v>
      </c>
      <c r="G200" s="8">
        <v>1677</v>
      </c>
      <c r="H200" s="2" t="s">
        <v>32</v>
      </c>
      <c r="I200" s="2" t="s">
        <v>589</v>
      </c>
      <c r="J200" s="9">
        <v>25569.333865752316</v>
      </c>
    </row>
    <row x14ac:dyDescent="0.25" r="201" customHeight="1" ht="19.5">
      <c r="A201" s="2" t="s">
        <v>590</v>
      </c>
      <c r="B201" s="2" t="s">
        <v>591</v>
      </c>
      <c r="C201" s="2" t="s">
        <v>40</v>
      </c>
      <c r="D201" s="8">
        <v>152</v>
      </c>
      <c r="E201" s="8">
        <v>84</v>
      </c>
      <c r="F201" s="8">
        <v>314</v>
      </c>
      <c r="G201" s="8">
        <v>1847</v>
      </c>
      <c r="H201" s="2" t="s">
        <v>32</v>
      </c>
      <c r="I201" s="2" t="s">
        <v>592</v>
      </c>
      <c r="J201" s="9">
        <v>25569.333865752316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/>
  </sheetViews>
  <sheetFormatPr defaultRowHeight="15" x14ac:dyDescent="0.25"/>
  <cols>
    <col min="1" max="1" style="4" width="20.005" customWidth="1" bestFit="1"/>
    <col min="2" max="2" style="4" width="80.005" customWidth="1" bestFit="1"/>
    <col min="3" max="3" style="4" width="14.147857142857141" customWidth="1" bestFit="1"/>
  </cols>
  <sheetData>
    <row x14ac:dyDescent="0.25" r="1" customHeight="1" ht="19.5">
      <c r="A1" s="1" t="s">
        <v>0</v>
      </c>
      <c r="B1" s="2"/>
      <c r="C1" s="2"/>
    </row>
    <row x14ac:dyDescent="0.25" r="2" customHeight="1" ht="19.5">
      <c r="A2" s="2"/>
      <c r="B2" s="2"/>
      <c r="C2" s="2"/>
    </row>
    <row x14ac:dyDescent="0.25" r="3" customHeight="1" ht="19.5">
      <c r="A3" s="2" t="s">
        <v>1</v>
      </c>
      <c r="B3" s="2"/>
      <c r="C3" s="2"/>
    </row>
    <row x14ac:dyDescent="0.25" r="4" customHeight="1" ht="19.5">
      <c r="A4" s="2" t="s">
        <v>2</v>
      </c>
      <c r="B4" s="3">
        <f>IF(D2&lt;E2, "&amp;#32570;&amp;#36008;", IF(D2&lt;E2*1.5, "&amp;#35686;&amp;#21578;", IF(D2&gt;F2, "&amp;#36942;&amp;#37327;", "&amp;#27491;&amp;#24120;")))</f>
      </c>
      <c r="C4" s="2"/>
    </row>
    <row x14ac:dyDescent="0.25" r="5" customHeight="1" ht="19.5">
      <c r="A5" s="2" t="s">
        <v>3</v>
      </c>
      <c r="B5" s="2" t="s">
        <v>4</v>
      </c>
      <c r="C5" s="2"/>
    </row>
    <row x14ac:dyDescent="0.25" r="6" customHeight="1" ht="19.5">
      <c r="A6" s="2"/>
      <c r="B6" s="2"/>
      <c r="C6" s="2"/>
    </row>
    <row x14ac:dyDescent="0.25" r="7" customHeight="1" ht="19.5">
      <c r="A7" s="2" t="s">
        <v>5</v>
      </c>
      <c r="B7" s="2"/>
      <c r="C7" s="2"/>
    </row>
    <row x14ac:dyDescent="0.25" r="8" customHeight="1" ht="19.5">
      <c r="A8" s="2" t="s">
        <v>2</v>
      </c>
      <c r="B8" s="3">
        <f>IFS(D2&lt;E2, "&amp;#32570;&amp;#36008;", D2&lt;E2*1.5, "&amp;#35686;&amp;#21578;", D2&gt;F2, "&amp;#36942;&amp;#37327;", TRUE, "&amp;#27491;&amp;#24120;")</f>
      </c>
      <c r="C8" s="2"/>
    </row>
    <row x14ac:dyDescent="0.25" r="9" customHeight="1" ht="19.5">
      <c r="A9" s="2"/>
      <c r="B9" s="2"/>
      <c r="C9" s="2"/>
    </row>
    <row x14ac:dyDescent="0.25" r="10" customHeight="1" ht="19.5">
      <c r="A10" s="2" t="s">
        <v>6</v>
      </c>
      <c r="B10" s="2"/>
      <c r="C10" s="2"/>
    </row>
    <row x14ac:dyDescent="0.25" r="11" customHeight="1" ht="19.5">
      <c r="A11" s="2" t="s">
        <v>7</v>
      </c>
      <c r="B11" s="2" t="s">
        <v>8</v>
      </c>
      <c r="C11" s="2"/>
    </row>
    <row x14ac:dyDescent="0.25" r="12" customHeight="1" ht="19.5">
      <c r="A12" s="2"/>
      <c r="B12" s="2"/>
      <c r="C12" s="2"/>
    </row>
    <row x14ac:dyDescent="0.25" r="13" customHeight="1" ht="19.5">
      <c r="A13" s="2" t="s">
        <v>9</v>
      </c>
      <c r="B13" s="2"/>
      <c r="C13" s="2"/>
    </row>
    <row x14ac:dyDescent="0.25" r="14" customHeight="1" ht="19.5">
      <c r="A14" s="2" t="s">
        <v>10</v>
      </c>
      <c r="B14" s="3">
        <f>COUNTIF(K:K, "&amp;#32570;&amp;#36008;")</f>
      </c>
      <c r="C14" s="2"/>
    </row>
    <row x14ac:dyDescent="0.25" r="15" customHeight="1" ht="19.5">
      <c r="A15" s="2" t="s">
        <v>11</v>
      </c>
      <c r="B15" s="3">
        <f>COUNTIF(K:K, "&amp;#35686;&amp;#21578;")</f>
      </c>
      <c r="C15" s="2"/>
    </row>
    <row x14ac:dyDescent="0.25" r="16" customHeight="1" ht="19.5">
      <c r="A16" s="2"/>
      <c r="B16" s="2"/>
      <c r="C16" s="2"/>
    </row>
    <row x14ac:dyDescent="0.25" r="17" customHeight="1" ht="19.5">
      <c r="A17" s="2" t="s">
        <v>12</v>
      </c>
      <c r="B17" s="2"/>
      <c r="C17" s="2"/>
    </row>
    <row x14ac:dyDescent="0.25" r="18" customHeight="1" ht="19.5">
      <c r="A18" s="2" t="s">
        <v>7</v>
      </c>
      <c r="B18" s="2" t="s">
        <v>13</v>
      </c>
      <c r="C18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庫存資料</vt:lpstr>
      <vt:lpstr>函數教學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2025-12-10T16:08:46.891Z</dcterms:created>
  <dcterms:modified xsi:type="dcterms:W3CDTF">2025-12-10T16:08:46.891Z</dcterms:modified>
</cp:coreProperties>
</file>